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threadedComments/threadedComment4.xml" ContentType="application/vnd.ms-excel.threadedcomments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readedComments/threadedComment2.xml" ContentType="application/vnd.ms-excel.threaded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comments4.xml" ContentType="application/vnd.openxmlformats-officedocument.spreadsheetml.comments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threadedComments/threadedComment7.xml" ContentType="application/vnd.ms-excel.threadedcomments+xml"/>
  <Override PartName="/xl/worksheets/sheet10.xml" ContentType="application/vnd.openxmlformats-officedocument.spreadsheetml.worksheet+xml"/>
  <Override PartName="/xl/threadedComments/threadedComment1.xml" ContentType="application/vnd.ms-excel.threadedcomments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readedComments/threadedComment6.xml" ContentType="application/vnd.ms-excel.threadedcomments+xml"/>
  <Override PartName="/xl/workbook.xml" ContentType="application/vnd.openxmlformats-officedocument.spreadsheetml.sheet.main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6"/>
  </bookViews>
  <sheets>
    <sheet name="Инструкция" sheetId="1" state="visible" r:id="rId2"/>
    <sheet name="Паспорт" sheetId="2" state="visible" r:id="rId3"/>
    <sheet name="Линии" sheetId="3" state="visible" r:id="rId4"/>
    <sheet name="Кабели" sheetId="4" state="visible" r:id="rId5"/>
    <sheet name="Опоры" sheetId="5" state="visible" r:id="rId6"/>
    <sheet name="Измерения" sheetId="6" state="visible" r:id="rId7"/>
    <sheet name="СИ" sheetId="7" state="visible" r:id="rId8"/>
    <sheet name="Мероприятия" sheetId="8" state="visible" r:id="rId9"/>
    <sheet name="Нагрузки" sheetId="9" state="visible" r:id="rId10"/>
    <sheet name="Спр_ВЛ" sheetId="10" state="visible" r:id="rId11"/>
    <sheet name="Спр_Кабели" sheetId="11" state="visible" r:id="rId12"/>
    <sheet name="Спр_Опоры" sheetId="12" state="visible" r:id="rId13"/>
    <sheet name="Спр_Измерения" sheetId="13" state="visible" r:id="rId14"/>
    <sheet name="Спр_Дефекты" sheetId="14" state="visible" r:id="rId15"/>
    <sheet name="Спр_Списки" sheetId="15" state="visible" r:id="rId16"/>
    <sheet name="Спр_Провода" sheetId="16" state="visible" r:id="rId17"/>
    <sheet name="Спр_Приборы" sheetId="17" state="visible" r:id="rId18"/>
  </sheets>
  <definedNames>
    <definedName name="Опоры_0_4">'Спр_Опоры'!$B$4:$B$34</definedName>
    <definedName name="Опоры_6">'Спр_Опоры'!$B$35:$B$38</definedName>
    <definedName name="Опоры_10">'Спр_Опоры'!$B$39:$B$98</definedName>
    <definedName name="Опоры_10_0_4">'Спр_Опоры'!$B$99:$B$102</definedName>
    <definedName name="Опоры_35">'Спр_Опоры'!$B$103:$B$126</definedName>
    <definedName name="Опоры_110">'Спр_Опоры'!$B$127:$B$145</definedName>
    <definedName name="Подвеска_Марки">'Спр_Провода'!$F$4:$F$49</definedName>
    <definedName name="Приборы_Наим">'Спр_Приборы'!$A$4:$A$20</definedName>
    <definedName name="Приборы_Марки">'Спр_Приборы'!$B$4:$B$20</definedName>
  </definedNames>
  <calcPr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tc={00BA002E-0019-4E4E-9314-0070001800A1}</author>
  </authors>
  <commentList>
    <comment ref="C28" authorId="0" xr:uid="{00BA002E-0019-4E4E-9314-0070001800A1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Один класс — введите число (например 10). Несколько — через точку с запятой: 0,4; 10; 110. Наибольший определится автоматически.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tc={00F40067-0088-47DC-B236-005800AA0075}</author>
  </authors>
  <commentList>
    <comment ref="B4" authorId="0" xr:uid="{00F40067-0088-47DC-B236-005800AA0075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Наименование должно посимвольно совпадать с графой «Линия / фидер» листа «Опоры». Проще всего скопировать оттуда.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tc={00AF0030-005C-4F81-9C38-004900D00046}</author>
    <author>tc={00E300AC-0051-4841-9744-00EC0019003F}</author>
  </authors>
  <commentList>
    <comment ref="L2" authorId="0" xr:uid="{00AF0030-005C-4F81-9C38-004900D00046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Монтажное тяжение нужно для оценки момента на анкерных, угловых, концевых и ответвительных опорах. По умолчанию подставляется допустимое тяжение марки — при наличии проектного значения впишите его поверх.
</t>
        </r>
      </text>
    </comment>
    <comment ref="H2" authorId="1" xr:uid="{00E300AC-0051-4841-9744-00EC0019003F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Высота подвеса должна быть не меньше нормируемого габарита ОК до земли (5,0 м) ПЛЮС расчётная стрела провеса. Значение 5,0 м недопустимо: в середине пролёта норматив не будет обеспечен.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tc={00AB0072-00C8-4136-ABA5-009A001D006A}</author>
    <author>tc={00990043-0012-4853-BA72-00AB00CA0072}</author>
    <author>tc={00280013-0001-49E8-A946-00D1008C00E2}</author>
    <author>tc={00BB003E-00BA-4A51-B501-000E00FF001A}</author>
  </authors>
  <commentList>
    <comment ref="R2" authorId="0" xr:uid="{00AB0072-00C8-4136-ABA5-009A001D006A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Характер местности КАЖДОЙ опоры: от него зависит нормируемый габарит провода до земли (для 10 кВ — 7,0 м в населённой и 6,0 м в ненаселённой). Пусто — берётся общее значение из Паспорта.
</t>
        </r>
      </text>
    </comment>
    <comment ref="S2" authorId="1" xr:uid="{00990043-0012-4853-BA72-00AB00CA0072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Только для угловых опор. Без угла доля тяжения принимается равной 1,0 (в запас несущей способности).
</t>
        </r>
      </text>
    </comment>
    <comment ref="V2" authorId="2" xr:uid="{00280013-0001-49E8-A946-00D1008C00E2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Габаритный пролёт по типовому проекту. Если фактический пролёт больше — опора попадёт в приложение Е с поверочным расчётом.
</t>
        </r>
      </text>
    </comment>
    <comment ref="D2" authorId="3" xr:uid="{00BB003E-00BA-4A51-B501-000E00FF001A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Сначала класс напряжения — только после этого в графе «Марка опоры» появятся марки этого класса.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tc={8304A61C-074D-999E-6DCE-8034D49250FF}</author>
    <author>tc={FCAB8979-D221-0F82-6A71-5D24BE3ED9D1}</author>
    <author>tc={8C82B9F3-50BC-83C9-F708-FDFD9BA9D138}</author>
  </authors>
  <commentList>
    <comment ref="A2" authorId="0" xr:uid="{8304A61C-074D-999E-6DCE-8034D49250FF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Графа обязательна. Строк без привязки к конкретной опоре в протоколе быть не должно: измерение без привязки не имеет доказательственной силы. Одна опора + один вид измерения = одна строка.
</t>
        </r>
      </text>
    </comment>
    <comment ref="E2" authorId="1" xr:uid="{FCAB8979-D221-0F82-6A71-5D24BE3ED9D1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Автозначение — образец. Впишите фактически измеренное значение.
</t>
        </r>
      </text>
    </comment>
    <comment ref="J2" authorId="2" xr:uid="{8C82B9F3-50BC-83C9-F708-FDFD9BA9D138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Г.1 — фактическое состояние конструкции. Г.2 — фактически свободные интервалы под ещё не смонтированный кабель. Подставляется автоматически по виду измерения.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tc={00E100DB-0022-410A-B8D0-00E3004F00CF}</author>
  </authors>
  <commentList>
    <comment ref="H3" authorId="0" xr:uid="{00E100DB-0022-410A-B8D0-00E3004F00CF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Вручную заполняются только срок и стоимость. Группа и исполнитель определяются автоматически по разделу протокола.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tc={00E300AE-00A7-4433-B2B5-00EF004E00FA}</author>
    <author>tc={00E600D8-0082-45B5-85E1-00E60010000B}</author>
    <author>tc={003300E5-0041-4764-8799-00FF009400EF}</author>
    <author>tc={00E5007C-002E-41EB-918A-005300C90090}</author>
  </authors>
  <commentList>
    <comment ref="A29" authorId="0" xr:uid="{00E300AE-00A7-4433-B2B5-00EF004E00FA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ОБЯЗАТЕЛЬНО заведите собственные провода ВЛ (СИП, АС и т. п.) и грозотрос. Без них расчёт учтёт только кабели связи и завысит запас несущей способности в разы.
</t>
        </r>
      </text>
    </comment>
    <comment ref="H29" authorId="1" xr:uid="{00E600D8-0082-45B5-85E1-00E60010000B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Монтажное тяжение нужно для оценки момента на анкерных, угловых, концевых и ответвительных опорах. Если тяжение неизвестно — оставьте пусто: количественная оценка по таким опорам выдаваться не будет, вместо неё в приложение Е попадёт поверочный расчёт в составе проектной документации.
</t>
        </r>
      </text>
    </comment>
    <comment ref="I29" authorId="2" xr:uid="{003300E5-0041-4764-8799-00FF009400EF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Класс напряжения, к которому относится позиция. Если объект включает несколько классов, а класс не указан, нагрузка 10 кВ будет учтена и на опорах 0,4 кВ — запас окажется заниженным. Значение «все классы» учитывается на всех опорах.
</t>
        </r>
      </text>
    </comment>
    <comment ref="E6" authorId="3" xr:uid="{00E5007C-002E-41EB-918A-005300C90090}">
      <text>
        <r>
          <rPr>
            <b/>
            <sz val="9"/>
            <rFont val="Tahoma"/>
          </rPr>
          <t>shablon:</t>
        </r>
        <r>
          <rPr>
            <sz val="9"/>
            <rFont val="Tahoma"/>
          </rPr>
          <t xml:space="preserve">
Формула массива. Если Excel показывает ошибку — встаньте в ячейку и нажмите Ctrl+Shift+Enter. Генератор отчёта считает это значение сам и от формулы не зависит.
</t>
        </r>
      </text>
    </comment>
  </commentList>
</comments>
</file>

<file path=xl/sharedStrings.xml><?xml version="1.0" encoding="utf-8"?>
<sst xmlns="http://schemas.openxmlformats.org/spreadsheetml/2006/main" count="927" uniqueCount="927">
  <si>
    <t xml:space="preserve">ID_shablon.xlsx — файл исходных данных для отчёта ППО ВОЛС</t>
  </si>
  <si>
    <t xml:space="preserve">Отчёт по пункту 13 Правил недискриминационного доступа (ПП РФ от 22.11.2022 № 2106). Книга соответствует рабочему месту версии 3.5.10.</t>
  </si>
  <si>
    <t xml:space="preserve">ДВА ЦВЕТА ЯЧЕЕК</t>
  </si>
  <si>
    <t>ЖЁЛТЫЕ</t>
  </si>
  <si>
    <t xml:space="preserve">Заполняете вручную.</t>
  </si>
  <si>
    <t>ЗЕЛЁНЫЕ</t>
  </si>
  <si>
    <t xml:space="preserve">Заполняются формулами. Не трогайте: при вводе своего значения формула стирается безвозвратно.</t>
  </si>
  <si>
    <t xml:space="preserve">Треугольник в углу</t>
  </si>
  <si>
    <t xml:space="preserve">Выпадающий список. Выбирайте мышкой, не печатайте — иначе автозаполнение не сработает.</t>
  </si>
  <si>
    <t xml:space="preserve">Строки ПРИМЕР</t>
  </si>
  <si>
    <t xml:space="preserve">Серый курсив, слово ПРИМЕР в последнем столбце. Удалите целиком перед заполнением.</t>
  </si>
  <si>
    <t xml:space="preserve">ПОРЯДОК ЗАПОЛНЕНИЯ ЛИСТОВ</t>
  </si>
  <si>
    <t xml:space="preserve">1. Паспорт</t>
  </si>
  <si>
    <t xml:space="preserve">Реквизиты запроса, стороны, объект, климат, работы, оформление. Габариты, охранную зону и протяжённость участка не заполняйте — подставятся.</t>
  </si>
  <si>
    <t xml:space="preserve">2. Линии</t>
  </si>
  <si>
    <t xml:space="preserve">По строке на каждую ВЛ: инвентарный номер, год ввода, основание права. Наименование линии должно совпадать с листом «Опоры» посимвольно.</t>
  </si>
  <si>
    <t xml:space="preserve">3. Кабели</t>
  </si>
  <si>
    <t xml:space="preserve">Что просит разместить оператор. Высота подвеса = нормируемый габарит (5,0 м) ПЛЮС стрела провеса.</t>
  </si>
  <si>
    <t xml:space="preserve">4. Опоры</t>
  </si>
  <si>
    <t xml:space="preserve">Сначала класс напряжения, затем марка: перечень марок связан с классом. Координаты обязательны — по ним считаются пролёты и протяжённость.</t>
  </si>
  <si>
    <t xml:space="preserve">5. Измерения</t>
  </si>
  <si>
    <t xml:space="preserve">Одна опора + один вид измерения = одна строка. Графа «№ опоры» обязательна, линия выводится от опоры.</t>
  </si>
  <si>
    <t xml:space="preserve">6. СИ</t>
  </si>
  <si>
    <t xml:space="preserve">Приборы. Номер записи и дата окончания поверки обязательны. Наименование и марка — из листа «Спр_Приборы».</t>
  </si>
  <si>
    <t xml:space="preserve">7. Нагрузки, Блок 2</t>
  </si>
  <si>
    <t xml:space="preserve">Провода ВЛ, грозотрос, ранее размещённые кабели. Собственные провода ВЛ — обязательно. Марки берутся из сводного перечня «кабели + провода».</t>
  </si>
  <si>
    <t xml:space="preserve">8. Мероприятия</t>
  </si>
  <si>
    <t xml:space="preserve">Заполнится само. Вручную — только срок и стоимость.</t>
  </si>
  <si>
    <t xml:space="preserve">ЧТО СЧИТАЕТСЯ САМО И ВРУЧНУЮ НЕ ВВОДИТСЯ</t>
  </si>
  <si>
    <t xml:space="preserve">Пролёт между опорами</t>
  </si>
  <si>
    <t xml:space="preserve">Определяется по координатам опор. Порядок опор в линии тоже строится по координатам, а не по номеру, поэтому одинаковые номера у разных опор расчёту не мешают.</t>
  </si>
  <si>
    <t xml:space="preserve">Протяжённость участка</t>
  </si>
  <si>
    <t xml:space="preserve">Сумма пролётов по координатам, включая звенья ручной привязки соседей.</t>
  </si>
  <si>
    <t xml:space="preserve">Отклонение от вертикали</t>
  </si>
  <si>
    <t xml:space="preserve">В поле измеряется УГОЛ. Отклонение верха в миллиметрах и величина 1/N считаются по углу и высоте опоры.</t>
  </si>
  <si>
    <t xml:space="preserve">Ранее размещённые ОК</t>
  </si>
  <si>
    <t xml:space="preserve">Позиция подвески в Блоке 2 выводится из графы «Существующих подвесов связи» листа «Опоры»: количество — наибольшее число подвесов на опоре класса, характеристики — по типовому самонесущему ОК.</t>
  </si>
  <si>
    <t xml:space="preserve">СЛУЖЕБНАЯ ГРАФА ЛИСТА «ОПОРЫ» (последний столбец)</t>
  </si>
  <si>
    <t>КОНЕЧНАЯ</t>
  </si>
  <si>
    <t xml:space="preserve">Опора отмечена как конец участка: пролёт до следующей опоры не считается, цепь на ней обрывается.</t>
  </si>
  <si>
    <t>СЛЕД=линия|номер</t>
  </si>
  <si>
    <t xml:space="preserve">Следующая опора указана вручную — обычно когда продолжение лежит на другой линии или в другом классе напряжения.</t>
  </si>
  <si>
    <t>ПРЕД=линия|номер</t>
  </si>
  <si>
    <t xml:space="preserve">То же для предыдущей опоры. Пролёт всё равно считается по координатам обеих опор.</t>
  </si>
  <si>
    <t xml:space="preserve">Графу не правьте руками</t>
  </si>
  <si>
    <t xml:space="preserve">Она заполняется рабочим местом и читается им обратно. Признаки задаются в карточке опоры либо в карточке метки на карте.</t>
  </si>
  <si>
    <t xml:space="preserve">ЧЕТЫРЕ ОШИБКИ, КОТОРЫЕ ОБЕСЦЕНИВАЮТ ОТЧЁТ</t>
  </si>
  <si>
    <t xml:space="preserve">Нет проводов ВЛ в Блоке 2</t>
  </si>
  <si>
    <t xml:space="preserve">Расчёт учтёт только кабели связи и завысит запас несущей способности в разы.</t>
  </si>
  <si>
    <t xml:space="preserve">Одно значение на всю линию</t>
  </si>
  <si>
    <t xml:space="preserve">Тиражирование замера на десяток опор — формально фальсификация протокола. Измеряйте раздельно.</t>
  </si>
  <si>
    <t xml:space="preserve">Высота подвеса 5,0 м</t>
  </si>
  <si>
    <t xml:space="preserve">В середине пролёта норматив не будет обеспечен ни при какой стреле провеса.</t>
  </si>
  <si>
    <t xml:space="preserve">Дефекты опор — на оператора</t>
  </si>
  <si>
    <t xml:space="preserve">Дефекты, возникшие до заявки, устраняет владелец (ст. 210 ГК РФ). Иное — риск по ч. 1 ст. 10 № 135-ФЗ.</t>
  </si>
  <si>
    <t xml:space="preserve">ГРАНИЦА ОТЧЁТА И ПРОЕКТНОЙ ДОКУМЕНТАЦИИ</t>
  </si>
  <si>
    <t xml:space="preserve">В отчёт входит</t>
  </si>
  <si>
    <t xml:space="preserve">Осмотр, инструментальные измерения, учёт ранее размещённых сетей, сводная оценка технологической возможности.</t>
  </si>
  <si>
    <t xml:space="preserve">В проект входит</t>
  </si>
  <si>
    <t xml:space="preserve">Поверочные расчёты, выбор марок и арматуры, точки и высоты подвеса, стрелы провеса, тяжения, технические решения по дефектам.</t>
  </si>
  <si>
    <t xml:space="preserve">Отчёт не является</t>
  </si>
  <si>
    <t xml:space="preserve">Результатом инженерных изысканий (ст. 47 ГрК РФ), проектной документацией (ст. 48 ГрК РФ), заключением об обследовании строительных конструкций.</t>
  </si>
  <si>
    <t xml:space="preserve">СПРАВОЧНИКИ КНИГИ</t>
  </si>
  <si>
    <t>Спр_Опоры</t>
  </si>
  <si>
    <t xml:space="preserve">131 марка по типовым проектам, сгруппированы по классу напряжения. Отметка «по аналогии» — расчётные величины приняты по стойке-аналогу и подтверждаются по проекту.</t>
  </si>
  <si>
    <t xml:space="preserve">Спр_Кабели / Спр_Провода</t>
  </si>
  <si>
    <t xml:space="preserve">Размещаемые ОК и собственные провода ВЛ. Графа F листа «Спр_Провода» — сводный перечень марок для Блока 2.</t>
  </si>
  <si>
    <t>Спр_Приборы</t>
  </si>
  <si>
    <t xml:space="preserve">Средства измерений. Первые строки — приборы подразделения с заводским номером и записью о поверке.</t>
  </si>
  <si>
    <t xml:space="preserve">Спр_ВЛ / Спр_Измерения / Спр_Дефекты / Спр_Списки</t>
  </si>
  <si>
    <t xml:space="preserve">Константы ПУЭ-7 и ПП № 160, виды измерений, категории дефектов, значения выпадающих списков.</t>
  </si>
  <si>
    <t xml:space="preserve">Свои позиции</t>
  </si>
  <si>
    <t xml:space="preserve">Заводятся в разделе «Справочники» рабочего места и в эту книгу не переносятся: книга — снимок данных, справочник живёт в инструменте.</t>
  </si>
  <si>
    <t xml:space="preserve">ПАСПОРТ ОБЪЕКТА И РЕКВИЗИТЫ ОТЧЁТА</t>
  </si>
  <si>
    <t>Код</t>
  </si>
  <si>
    <t xml:space="preserve">Наименование поля</t>
  </si>
  <si>
    <t>Значение</t>
  </si>
  <si>
    <t xml:space="preserve">ЗАПРОС ПОЛЬЗОВАТЕЛЯ ИНФРАСТРУКТУРЫ (п. 13 Правил)</t>
  </si>
  <si>
    <t>ЗАПРОС_НОМЕР</t>
  </si>
  <si>
    <t xml:space="preserve">Номер запроса пользователя инфраструктуры</t>
  </si>
  <si>
    <t xml:space="preserve">исх. № 04-14/2261</t>
  </si>
  <si>
    <t>ЗАПРОС_ДАТА</t>
  </si>
  <si>
    <t xml:space="preserve">Дата запроса</t>
  </si>
  <si>
    <t>02.06.2026</t>
  </si>
  <si>
    <t>ЗАПРОС_ВХ_НОМЕР</t>
  </si>
  <si>
    <t xml:space="preserve">Входящий номер регистрации запроса у владельца</t>
  </si>
  <si>
    <t xml:space="preserve">вх. № КЭ/АЭС/1187</t>
  </si>
  <si>
    <t>ЗАПРОС_ВХ_ДАТА</t>
  </si>
  <si>
    <t xml:space="preserve">Дата регистрации запроса</t>
  </si>
  <si>
    <t>05.06.2026</t>
  </si>
  <si>
    <t>КОНФИД_ОБЯЗАТ</t>
  </si>
  <si>
    <t xml:space="preserve">Обязательство о конфиденциальности: номер и дата письменного обязательства оператора о неразглашении (обязательное приложение по п. 15 Правил)</t>
  </si>
  <si>
    <t xml:space="preserve">обязательство б/н от 02.06.2026</t>
  </si>
  <si>
    <t>ДОГОВОР_НОМЕР</t>
  </si>
  <si>
    <t xml:space="preserve">Договор (счёт) на работы по осмотру, измерению, обследованию (п. 16)</t>
  </si>
  <si>
    <t xml:space="preserve">№ 23002603002603</t>
  </si>
  <si>
    <t>ДОГОВОР_ДАТА</t>
  </si>
  <si>
    <t xml:space="preserve">Дата договора (счёта)</t>
  </si>
  <si>
    <t>25.02.2026</t>
  </si>
  <si>
    <t>ДОГОВОР_СРОК</t>
  </si>
  <si>
    <t xml:space="preserve">Дата исполнения обязательств по договору (счёту) — расчётная предельная дата</t>
  </si>
  <si>
    <t>12.08.2026</t>
  </si>
  <si>
    <t>ОПЛАТА_ДАТА</t>
  </si>
  <si>
    <t xml:space="preserve">Дата оплаты работ по осмотру и обследованию (абз. 2 п. 16 Правил)</t>
  </si>
  <si>
    <t>26.02.2026</t>
  </si>
  <si>
    <t>КОНФИД_ПОДПИСАНТ</t>
  </si>
  <si>
    <t xml:space="preserve">Обязательство о конфиденциальности — подписант (должность, Ф.И.О.)</t>
  </si>
  <si>
    <t xml:space="preserve">генеральный директор ______________</t>
  </si>
  <si>
    <t>СТОРОНЫ</t>
  </si>
  <si>
    <t>ВЛАДЕЛЕЦ_НАИМ</t>
  </si>
  <si>
    <t xml:space="preserve">Владелец инфраструктуры (полное наименование)</t>
  </si>
  <si>
    <t xml:space="preserve">Публичное акционерное общество «Россети Юг»</t>
  </si>
  <si>
    <t>ВЛАДЕЛЕЦ_ФИЛИАЛ</t>
  </si>
  <si>
    <t xml:space="preserve">Филиал / производственное отделение</t>
  </si>
  <si>
    <t xml:space="preserve">филиал ПАО «Россети Юг» — «Кубаньэнерго», Армавирские электрические сети</t>
  </si>
  <si>
    <t>ВЛАДЕЛЕЦ_АДРЕС</t>
  </si>
  <si>
    <t xml:space="preserve">Адрес владельца инфраструктуры</t>
  </si>
  <si>
    <t xml:space="preserve">352900, Краснодарский край, г. Армавир, ул. Воровского, 54</t>
  </si>
  <si>
    <t>ПОЛЬЗОВАТЕЛЬ_НАИМ</t>
  </si>
  <si>
    <t xml:space="preserve">Пользователь инфраструктуры (оператор связи)</t>
  </si>
  <si>
    <t xml:space="preserve">Общество с ограниченной ответственностью «Защита информации»</t>
  </si>
  <si>
    <t>ПОЛЬЗОВАТЕЛЬ_АДРЕС</t>
  </si>
  <si>
    <t xml:space="preserve">Адрес пользователя инфраструктуры</t>
  </si>
  <si>
    <t xml:space="preserve">350000, г. Краснодар, ул. Красная, 1</t>
  </si>
  <si>
    <t>ПОЛЬЗОВАТЕЛЬ_РЕКВИЗИТЫ</t>
  </si>
  <si>
    <t xml:space="preserve">ОГРН / ИНН пользователя инфраструктуры (для формы обязательства по п. 15 Правил)</t>
  </si>
  <si>
    <t xml:space="preserve">ОГРН 1027700000000, ИНН 7700000000</t>
  </si>
  <si>
    <t>ПОЛЬЗОВАТЕЛЬ_ПОДПИСАНТ_ДОЛЖ</t>
  </si>
  <si>
    <t xml:space="preserve">Должность подписанта от пользователя инфраструктуры</t>
  </si>
  <si>
    <t xml:space="preserve">генеральный директор</t>
  </si>
  <si>
    <t>ПОЛЬЗОВАТЕЛЬ_ПОДПИСАНТ_ФИО</t>
  </si>
  <si>
    <t xml:space="preserve">Ф.И.О. подписанта от пользователя инфраструктуры</t>
  </si>
  <si>
    <t>_______________</t>
  </si>
  <si>
    <t>ПОЛЬЗОВАТЕЛЬ_ОСНОВАНИЕ</t>
  </si>
  <si>
    <t xml:space="preserve">Основание полномочий подписанта</t>
  </si>
  <si>
    <t>устав</t>
  </si>
  <si>
    <t xml:space="preserve">ОБЪЕКТ ИНФРАСТРУКТУРЫ</t>
  </si>
  <si>
    <t>ОБЪЕКТ_ВИД</t>
  </si>
  <si>
    <t xml:space="preserve">Вид объекта инфраструктуры (по п. 2 Правил)</t>
  </si>
  <si>
    <t xml:space="preserve">сопряжённый объект инфраструктуры — воздушная линия электропередачи</t>
  </si>
  <si>
    <t>ОБЪЕКТ_НАИМ</t>
  </si>
  <si>
    <t xml:space="preserve">Наименование объекта</t>
  </si>
  <si>
    <t xml:space="preserve">ВЛ 10 кВ КН-13</t>
  </si>
  <si>
    <t>ОБЪЕКТ_КЛАСС</t>
  </si>
  <si>
    <t xml:space="preserve">Класс(ы) напряжения, кВ — выбрать из списка; при нескольких перечислить через «;»</t>
  </si>
  <si>
    <t>10</t>
  </si>
  <si>
    <t>ОБЪЕКТ_КЛАСС_МАКС</t>
  </si>
  <si>
    <t xml:space="preserve">Наибольший класс напряжения, кВ (АВТО — для габаритов и охранной зоны)</t>
  </si>
  <si>
    <t>ОБЪЕКТ_МЕСТО</t>
  </si>
  <si>
    <t xml:space="preserve">Место расположения</t>
  </si>
  <si>
    <t xml:space="preserve">Краснодарский край, Новокубанский район, г. Новокубанск, МТФ 3 Южная зона, Ленинский путь, в пределах н/п</t>
  </si>
  <si>
    <t>МЕСТНОСТЬ</t>
  </si>
  <si>
    <t xml:space="preserve">Характер местности — выбрать из списка (определяет нормируемые габариты)</t>
  </si>
  <si>
    <t>населённая</t>
  </si>
  <si>
    <t>ОБЪЕКТ_ДЛИНА</t>
  </si>
  <si>
    <t xml:space="preserve">Протяжённость участка, км (пусто — считается по пролётам)</t>
  </si>
  <si>
    <t>1,2</t>
  </si>
  <si>
    <t>ОБЪЕКТ_ВЛАДЕНИЕ</t>
  </si>
  <si>
    <t xml:space="preserve">Основание владения объектом</t>
  </si>
  <si>
    <t xml:space="preserve">право собственности, запись ЕГРН от __.__.____ № _____</t>
  </si>
  <si>
    <t>ГАБАРИТ_ЗЕМЛЯ</t>
  </si>
  <si>
    <t xml:space="preserve">Нормируемый габарит провода до земли, м (АВТО по классу и местности)</t>
  </si>
  <si>
    <t>ГАБАРИТ_ОКСН</t>
  </si>
  <si>
    <t xml:space="preserve">Нормируемый габарит ОКСН до земли, м (АВТО)</t>
  </si>
  <si>
    <t>РАССТ_ОКСН_ПРОВОД</t>
  </si>
  <si>
    <t xml:space="preserve">Мин. расстояние ОКСН–провод, м (АВТО по наибольшему классу)</t>
  </si>
  <si>
    <t>ОХРАННАЯ_ЗОНА</t>
  </si>
  <si>
    <t xml:space="preserve">Охранная зона объекта, м (АВТО по наибольшему классу; ПП РФ № 160)</t>
  </si>
  <si>
    <t>ОХРАННАЯ_ЗОНА_ТЕКСТ</t>
  </si>
  <si>
    <t xml:space="preserve">Охранная зона — текст для отчёта (реквизиты ЕГРН и т.п.)</t>
  </si>
  <si>
    <t xml:space="preserve">сведения внесены в ЕГРН, реестровый номер ______</t>
  </si>
  <si>
    <t>ИНФОСИСТЕМА</t>
  </si>
  <si>
    <t xml:space="preserve">Сведения об объекте в информационной системе владельца</t>
  </si>
  <si>
    <t xml:space="preserve">внесены / не внесены, идентификатор ______</t>
  </si>
  <si>
    <t>РЕМОНТ_ПЛАНЫ</t>
  </si>
  <si>
    <t xml:space="preserve">Планы ремонта и реконструкции объекта, влияющие на размещение</t>
  </si>
  <si>
    <t xml:space="preserve">на дату отчёта работы по реконструкции и техническому перевооружению участка в утверждённых программах не значатся</t>
  </si>
  <si>
    <t>ЗАЯВКИ_ИНЫЕ</t>
  </si>
  <si>
    <t xml:space="preserve">Иные заявки на тот же участок (очерёдность рассмотрения)</t>
  </si>
  <si>
    <t xml:space="preserve">иных заявлений о предоставлении доступа к тому же участку на дату отчёта не зарегистрировано</t>
  </si>
  <si>
    <t xml:space="preserve">РАСЧЁТНЫЕ КЛИМАТИЧЕСКИЕ УСЛОВИЯ — можно оставить пустыми: генератор определит по месту (подтвердить по картам)</t>
  </si>
  <si>
    <t>ВЕТЕР_РАЙОН</t>
  </si>
  <si>
    <t xml:space="preserve">Район по ветровому давлению (ПУЭ-7, табл. 2.5.1)</t>
  </si>
  <si>
    <t>ВЕТЕР_ДАВЛЕНИЕ</t>
  </si>
  <si>
    <t xml:space="preserve">Нормативное ветровое давление W0, Па</t>
  </si>
  <si>
    <t>ГОЛОЛЁД_РАЙОН</t>
  </si>
  <si>
    <t xml:space="preserve">Район по гололёду (ПУЭ-7, табл. 2.5.3)</t>
  </si>
  <si>
    <t>ГОЛОЛЁД_СТЕНКА</t>
  </si>
  <si>
    <t xml:space="preserve">Нормативная толщина стенки гололёда, мм</t>
  </si>
  <si>
    <t>МЕСТНОСТЬ_ТИП</t>
  </si>
  <si>
    <t xml:space="preserve">Тип местности по ветру (ПУЭ-7, п. 2.5.6)</t>
  </si>
  <si>
    <t>СЕЙСМИКА</t>
  </si>
  <si>
    <t xml:space="preserve">Сейсмичность площадки, баллов (карта ОСР)</t>
  </si>
  <si>
    <t>КЛИМАТ_ИСТОЧНИК</t>
  </si>
  <si>
    <t xml:space="preserve">Источник климатических данных — ОБЯЗАТЕЛЬНО (без источника значения не имеют доказательственной силы)</t>
  </si>
  <si>
    <t xml:space="preserve">карты климатического районирования ПУЭ-7 (табл. 2.5.1, 2.5.3); СП 131.13330.2020</t>
  </si>
  <si>
    <t>СЕЙСМИКА_УЧЁТ</t>
  </si>
  <si>
    <t xml:space="preserve">Учёт сейсмических воздействий — оговорка для отчёта</t>
  </si>
  <si>
    <t xml:space="preserve">При сейсмичности площадки 7 баллов и выше расчёт по СП 14.13330.2018 для одностоечных опор ВЛ до 35 кВ не является определяющим: сейсмическая нагрузка существенно меньше гололёдно-ветровой. Проверка выполняется в проектной документации.</t>
  </si>
  <si>
    <t xml:space="preserve">ВЫПОЛНЕННЫЕ РАБОТЫ И КОНТРОЛЬ КАЧЕСТВА</t>
  </si>
  <si>
    <t>ТЗ_НОМЕР</t>
  </si>
  <si>
    <t xml:space="preserve">Техническое задание — номер</t>
  </si>
  <si>
    <t xml:space="preserve">ТЗ № ДРНУ-2026-117</t>
  </si>
  <si>
    <t>ТЗ_ДАТА</t>
  </si>
  <si>
    <t xml:space="preserve">Техническое задание — дата утверждения</t>
  </si>
  <si>
    <t>30.06.2026</t>
  </si>
  <si>
    <t>ПРОГРАММА_НОМЕР</t>
  </si>
  <si>
    <t xml:space="preserve">Программа работ по осмотру и обследованию — номер</t>
  </si>
  <si>
    <t xml:space="preserve">ПР № ДРНУ-2026-117</t>
  </si>
  <si>
    <t>ПРОГРАММА_ДАТА</t>
  </si>
  <si>
    <t xml:space="preserve">Программа работ — дата утверждения</t>
  </si>
  <si>
    <t>РАБОТЫ_НАЧАЛО</t>
  </si>
  <si>
    <t xml:space="preserve">Дата начала работ</t>
  </si>
  <si>
    <t>08.07.2026</t>
  </si>
  <si>
    <t>РАБОТЫ_ОКОНЧАНИЕ</t>
  </si>
  <si>
    <t xml:space="preserve">Дата окончания работ</t>
  </si>
  <si>
    <t>10.07.2026</t>
  </si>
  <si>
    <t>РАБОТЫ_МЕТОДЫ</t>
  </si>
  <si>
    <t xml:space="preserve">Применённые методы</t>
  </si>
  <si>
    <t xml:space="preserve">визуальный осмотр по ГОСТ 31937-2024; геодезические измерения отклонений от вертикали; неразрушающий контроль прочности бетона по ГОСТ 22690-2015; измерение габаритов и расстояний</t>
  </si>
  <si>
    <t>ИСПОЛНИТЕЛЬ_ОРГ</t>
  </si>
  <si>
    <t xml:space="preserve">Организация, выполнившая работы</t>
  </si>
  <si>
    <t xml:space="preserve">филиал ПАО «Россети Юг» — «Кубаньэнерго», департамент развития нетарифных услуг</t>
  </si>
  <si>
    <t>ИСПОЛНИТЕЛЬ_РУК</t>
  </si>
  <si>
    <t xml:space="preserve">Руководитель работ (должность, Ф.И.О.)</t>
  </si>
  <si>
    <t xml:space="preserve">главный специалист ДРНУ Логачев М.А.</t>
  </si>
  <si>
    <t>ИСПОЛНИТЕЛЬ_СОСТАВ</t>
  </si>
  <si>
    <t xml:space="preserve">Состав исполнителей — не менее двух работников, с группой по электробезопасности</t>
  </si>
  <si>
    <t xml:space="preserve">ведущий специалист ДРНУ ______________ (гр. IV); электромонтёр ______________ (гр. III)</t>
  </si>
  <si>
    <t>НАРЯД_РЕКВИЗИТЫ</t>
  </si>
  <si>
    <t xml:space="preserve">Наряд-допуск / распоряжение (номер, дата) — приказ Минтруда России № 903н</t>
  </si>
  <si>
    <t xml:space="preserve">наряд-допуск № ____ от __.__.____</t>
  </si>
  <si>
    <t>СХЕМА_РАБОТ</t>
  </si>
  <si>
    <t xml:space="preserve">Схема производства работ — выбрать из списка</t>
  </si>
  <si>
    <t xml:space="preserve">без снятия напряжения (в охранной зоне, по наряду-допуску)</t>
  </si>
  <si>
    <t>ЗАЗЕМ_ВЫБОРКА</t>
  </si>
  <si>
    <t xml:space="preserve">Правило выборки при измерении сопротивления заземления</t>
  </si>
  <si>
    <t xml:space="preserve">повторные заземлители и опоры с разрядниками</t>
  </si>
  <si>
    <t>ИСХОДНЫЕ_ДАННЫЕ</t>
  </si>
  <si>
    <t xml:space="preserve">Исходные данные и их источники (ст. 759 ГК РФ)</t>
  </si>
  <si>
    <t xml:space="preserve">Паспорт ВЛ — предоставлен ______________ от __.__.____; исполнительная документация — ______________; сведения о ранее размещённых сетях электросвязи — реестр договоров владельца на __.__.____</t>
  </si>
  <si>
    <t>ОГРАНИЧЕНИЯ_ДАННЫХ</t>
  </si>
  <si>
    <t xml:space="preserve">Ограничения исходных данных (ст. 716 ГК РФ) — пусто = соберётся автоматически</t>
  </si>
  <si>
    <t>РАБОТЫ_НЕ_ВЫПОЛНЯЛИСЬ</t>
  </si>
  <si>
    <t xml:space="preserve">Работы, НЕ выполнявшиеся — ключевой защитный раздел</t>
  </si>
  <si>
    <t xml:space="preserve">вскрытие грунта и обследование подземной части опор и фундаментов; определение фактической глубины заложения; неразрушающий и разрушающий контроль металла; геодезическая съёмка трассы; инженерно-геологические, гидрологические и экологические изыскания; оценка коррозионной активности грунтов; вскрытие и обследование бандажей и стыков ниже уровня земли</t>
  </si>
  <si>
    <t>АУДИТОР_ДОЛЖ</t>
  </si>
  <si>
    <t xml:space="preserve">Нормоконтроль / внутренний аудит — должность</t>
  </si>
  <si>
    <t xml:space="preserve">ведущий специалист ДРНУ</t>
  </si>
  <si>
    <t>АУДИТОР_ФИО</t>
  </si>
  <si>
    <t xml:space="preserve">Нормоконтроль / внутренний аудит — Ф.И.О.</t>
  </si>
  <si>
    <t xml:space="preserve">ЦЕНА И УСЛОВИЯ ДОСТУПА (п. 13 «г», «д»)</t>
  </si>
  <si>
    <t>ЦЕНА_ПУБЛИКАЦИЯ</t>
  </si>
  <si>
    <t xml:space="preserve">Адрес публикации порядка формирования цены (тарифа)</t>
  </si>
  <si>
    <t>https://rosseti-yug.ru/</t>
  </si>
  <si>
    <t>ЦЕНА_РАБОТЫ</t>
  </si>
  <si>
    <t xml:space="preserve">Стоимость работ по осмотру, измерению, обследованию, руб. с НДС</t>
  </si>
  <si>
    <t xml:space="preserve">48 600,00</t>
  </si>
  <si>
    <t>ПРЕЙСКУРАНТ</t>
  </si>
  <si>
    <t xml:space="preserve">Реквизиты документа об утверждении прейскуранта (подп. «г» п. 13 Правил)</t>
  </si>
  <si>
    <t xml:space="preserve">приказ филиала от __.__.____ № ____</t>
  </si>
  <si>
    <t>ДОСТУП_УСЛОВИЯ</t>
  </si>
  <si>
    <t xml:space="preserve">Условия доступа сотрудников пользователя инфраструктуры</t>
  </si>
  <si>
    <t xml:space="preserve">по заявке не позднее чем за 2 рабочих дня; при наличии удостоверений по электробезопасности (группа не ниже III); работы в охранной зоне ВЛ — по наряду-допуску в сопровождении допускающего от владельца. Сопровождение обеспечивается силами и за счёт владельца инфраструктуры и не является основанием для отказа в доступе или его задержки (подп. «в» п. 30 Правил)</t>
  </si>
  <si>
    <t xml:space="preserve">ОФОРМЛЕНИЕ ОТЧЁТА</t>
  </si>
  <si>
    <t>ОТЧЁТ_НОМЕР</t>
  </si>
  <si>
    <t xml:space="preserve">Регистрационный номер отчёта</t>
  </si>
  <si>
    <t>ДРНУ-ППО/2026-117</t>
  </si>
  <si>
    <t>ОТЧЁТ_ДАТА</t>
  </si>
  <si>
    <t xml:space="preserve">Дата отчёта</t>
  </si>
  <si>
    <t>17.07.2026</t>
  </si>
  <si>
    <t>СРОК_МЕСЯЦЕВ</t>
  </si>
  <si>
    <t xml:space="preserve">Срок актуальности сведений, мес. — условие владельца инфраструктуры, а не норматив Правил</t>
  </si>
  <si>
    <t>12</t>
  </si>
  <si>
    <t>УТВ_ДОЛЖ</t>
  </si>
  <si>
    <t xml:space="preserve">Должность утверждающего</t>
  </si>
  <si>
    <t xml:space="preserve">Заместитель директора по развитию и технологическому присоединению</t>
  </si>
  <si>
    <t>УТВ_ФИО</t>
  </si>
  <si>
    <t xml:space="preserve">Ф.И.О. утверждающего</t>
  </si>
  <si>
    <t xml:space="preserve">А.В. Чепусов</t>
  </si>
  <si>
    <t>ПОДПИСАНТ_ДОЛЖ</t>
  </si>
  <si>
    <t xml:space="preserve">Должность подписанта отчёта</t>
  </si>
  <si>
    <t xml:space="preserve">Начальник департамента развития нетарифных услуг</t>
  </si>
  <si>
    <t>ПОДПИСАНТ_ФИО</t>
  </si>
  <si>
    <t xml:space="preserve">Ф.И.О. подписанта</t>
  </si>
  <si>
    <t>АВАРИЙНЫЕ_ПЕРЕДАНЫ</t>
  </si>
  <si>
    <t xml:space="preserve">Передача сведений об аварийных опорах в эксплуатирующее подразделение (кому, когда, № записи в системе учёта дефектов)</t>
  </si>
  <si>
    <t>СОГЛАС_ДОЛЖ</t>
  </si>
  <si>
    <t xml:space="preserve">Согласование вывода о технологической возможности — должность</t>
  </si>
  <si>
    <t xml:space="preserve">Главный инженер производственного отделения</t>
  </si>
  <si>
    <t>СОГЛАС_ФИО</t>
  </si>
  <si>
    <t xml:space="preserve">Согласование вывода — Ф.И.О.</t>
  </si>
  <si>
    <t>ВЫВОД_РУЧНОЙ</t>
  </si>
  <si>
    <t xml:space="preserve">Итоговый вывод — ручное переопределение (пусто = авто)</t>
  </si>
  <si>
    <t xml:space="preserve">ЛИНИИ В ГРАНИЦАХ ЗАПРОСА — пообъектная идентификация</t>
  </si>
  <si>
    <t xml:space="preserve">Объект «ВЛ 0,4-10 кВ» одним лотом — недопустимое описание: под ним скрывается несколько разных линий с разными инвентарными номерами и основаниями права. Каждая линия описывается отдельной строкой; наименование в графе «Линия / фидер» должно ТОЧНО совпадать с тем, что указано на листе «Опоры», иначе связь не установится.</t>
  </si>
  <si>
    <t xml:space="preserve">№ п/п</t>
  </si>
  <si>
    <t xml:space="preserve">Линия / фидер</t>
  </si>
  <si>
    <t xml:space="preserve">Диспетчерское наименование</t>
  </si>
  <si>
    <t xml:space="preserve">Инвентарный номер</t>
  </si>
  <si>
    <t xml:space="preserve">Год ввода</t>
  </si>
  <si>
    <t xml:space="preserve">Класс напряжения, кВ</t>
  </si>
  <si>
    <t xml:space="preserve">Основание права (реквизиты)</t>
  </si>
  <si>
    <t xml:space="preserve">Планы ремонта и реконструкции</t>
  </si>
  <si>
    <t xml:space="preserve">Иные заявки на участок</t>
  </si>
  <si>
    <t xml:space="preserve">Опор в границах запроса</t>
  </si>
  <si>
    <t xml:space="preserve">Служебная отметка</t>
  </si>
  <si>
    <t xml:space="preserve">ВЛ 10 кВ КН-13 от ПС 35/10 кВ «Новокубанская»</t>
  </si>
  <si>
    <t>10:00:0000000:1234</t>
  </si>
  <si>
    <t xml:space="preserve">в утверждённых программах ремонта на текущий год не значится</t>
  </si>
  <si>
    <t xml:space="preserve">иных заявлений не зарегистрировано</t>
  </si>
  <si>
    <t>ПРИМЕР</t>
  </si>
  <si>
    <t xml:space="preserve">Марка (из «Спр_Кабели»)</t>
  </si>
  <si>
    <t xml:space="preserve">Тип элемента</t>
  </si>
  <si>
    <t xml:space="preserve">Наружный диаметр, мм</t>
  </si>
  <si>
    <t xml:space="preserve">Погонная масса, кг/км</t>
  </si>
  <si>
    <t xml:space="preserve">Допустимое тяжение, кН</t>
  </si>
  <si>
    <t xml:space="preserve">Область применения (кВ)</t>
  </si>
  <si>
    <t xml:space="preserve">Высота подвеса, м</t>
  </si>
  <si>
    <t xml:space="preserve">Линейная арматура</t>
  </si>
  <si>
    <t>Примечание</t>
  </si>
  <si>
    <t xml:space="preserve">Класс напряжения размещения, кВ</t>
  </si>
  <si>
    <t xml:space="preserve">Монтажное тяжение, кН</t>
  </si>
  <si>
    <t>ОКСН-8-4,0</t>
  </si>
  <si>
    <t xml:space="preserve">спиральная натяжная и поддерживающая, заводская</t>
  </si>
  <si>
    <t xml:space="preserve">все классы</t>
  </si>
  <si>
    <t xml:space="preserve">№ опоры</t>
  </si>
  <si>
    <t xml:space="preserve">Класс напряжения опоры</t>
  </si>
  <si>
    <t xml:space="preserve">Марка опоры</t>
  </si>
  <si>
    <t>Материал</t>
  </si>
  <si>
    <t xml:space="preserve">Тип по назначению</t>
  </si>
  <si>
    <t xml:space="preserve">Пролёт до следующей опоры, м</t>
  </si>
  <si>
    <t xml:space="preserve">Существующих подвесов связи, шт</t>
  </si>
  <si>
    <t xml:space="preserve">Категория дефекта</t>
  </si>
  <si>
    <t>Дефект</t>
  </si>
  <si>
    <t xml:space="preserve">Состояние конструкции (ГОСТ 31937-2024)</t>
  </si>
  <si>
    <t xml:space="preserve">Технологическая возможность</t>
  </si>
  <si>
    <t>Мероприятие</t>
  </si>
  <si>
    <t>Широта</t>
  </si>
  <si>
    <t>Долгота</t>
  </si>
  <si>
    <t xml:space="preserve">Характер местности</t>
  </si>
  <si>
    <t xml:space="preserve">Угол поворота, град</t>
  </si>
  <si>
    <t xml:space="preserve">Ранее размещённые ОК — владелец</t>
  </si>
  <si>
    <t xml:space="preserve">Ранее размещённые ОК — высота подвеса, м</t>
  </si>
  <si>
    <t xml:space="preserve">Габаритный пролёт, м</t>
  </si>
  <si>
    <t>13</t>
  </si>
  <si>
    <t>П10-1</t>
  </si>
  <si>
    <t>—</t>
  </si>
  <si>
    <t>14</t>
  </si>
  <si>
    <t>Б</t>
  </si>
  <si>
    <t>15</t>
  </si>
  <si>
    <t>УА10-1</t>
  </si>
  <si>
    <t>A</t>
  </si>
  <si>
    <t xml:space="preserve">ООО «Оператор»</t>
  </si>
  <si>
    <t xml:space="preserve">Вид измерения</t>
  </si>
  <si>
    <t xml:space="preserve">Место (отметка), м</t>
  </si>
  <si>
    <t xml:space="preserve">Ед. изм.</t>
  </si>
  <si>
    <t xml:space="preserve">Нормативное требование</t>
  </si>
  <si>
    <t>Вывод</t>
  </si>
  <si>
    <t xml:space="preserve">Средство измерения</t>
  </si>
  <si>
    <t xml:space="preserve">Раздел протокола</t>
  </si>
  <si>
    <t xml:space="preserve">Прочность бетона на сжатие (ударный импульс)</t>
  </si>
  <si>
    <t>ИПС-МГ4.01</t>
  </si>
  <si>
    <t xml:space="preserve">Отклонение стойки от вертикали</t>
  </si>
  <si>
    <t xml:space="preserve">РГК Т-05</t>
  </si>
  <si>
    <t xml:space="preserve">Габарит нижнего провода до земли</t>
  </si>
  <si>
    <t>1/85</t>
  </si>
  <si>
    <t xml:space="preserve">не соответствует</t>
  </si>
  <si>
    <t xml:space="preserve">Наименование средства измерения</t>
  </si>
  <si>
    <t xml:space="preserve">Тип / марка</t>
  </si>
  <si>
    <t xml:space="preserve">Заводской №</t>
  </si>
  <si>
    <t xml:space="preserve">№ записи о поверке во ФГИС «Аршин»</t>
  </si>
  <si>
    <t xml:space="preserve">Дата поверки</t>
  </si>
  <si>
    <t xml:space="preserve">Поверка действительна до</t>
  </si>
  <si>
    <t xml:space="preserve">Измеритель прочности бетона</t>
  </si>
  <si>
    <t>П-431-2026</t>
  </si>
  <si>
    <t xml:space="preserve">Тахеометр электронный</t>
  </si>
  <si>
    <t>С-ДЮП/27-08-2026/554012358</t>
  </si>
  <si>
    <t>Группа</t>
  </si>
  <si>
    <t xml:space="preserve">Основание (дефект, несоответствие)</t>
  </si>
  <si>
    <t>Исполнитель</t>
  </si>
  <si>
    <t xml:space="preserve">Срок выполнения</t>
  </si>
  <si>
    <t xml:space="preserve">Ориентировочная стоимость, руб. с НДС</t>
  </si>
  <si>
    <t xml:space="preserve">Лист формируется АВТОМАТИЧЕСКИ. Группа Е.2 — устранение дефектов эксплуатации, существовавших до заявки и размещением не вызванных: обязанность владельца (ст. 210 ГК РФ, ПТЭ). Группа Е.1 — мероприятия, обусловленные размещением: обязанность пользователя. Возложение мероприятий группы Е.2 на заявителя как условия доступа образует состав по ч. 1 ст. 10 Федерального закона № 135-ФЗ.</t>
  </si>
  <si>
    <t xml:space="preserve">ИСХОДНЫЕ ДАННЫЕ ДЛЯ ОЦЕНКИ НЕСУЩЕЙ СПОСОБНОСТИ (приложение Ж) — формируется автоматически</t>
  </si>
  <si>
    <t xml:space="preserve">Блок 1 (опоры) — автоматически по листам «Опоры» и «Спр_Опоры». Расчётным принимается НАИБОЛЬШИЙ пролёт в пределах марки, а не средний: усреднение скрывает именно те опоры, которые определяют результат. Блок 2 (существующая подвеска) заполняется вручную — без собственных проводов ВЛ и без монтажных тяжений расчёт занижает фактическую нагрузку и не имеет доказательственной силы.</t>
  </si>
  <si>
    <t xml:space="preserve">БЛОК 1. ОПОРЫ (АВТО по листам «Опоры» и «Спр_Опоры»)</t>
  </si>
  <si>
    <t xml:space="preserve">Типовой проект / паспорт</t>
  </si>
  <si>
    <t xml:space="preserve">Высота подвеса проводов, м</t>
  </si>
  <si>
    <t xml:space="preserve">Допустимый изгибающий момент стойки, кН·м</t>
  </si>
  <si>
    <t xml:space="preserve">Расчётный весовой пролёт, м</t>
  </si>
  <si>
    <t xml:space="preserve">Расчётный ветровой пролёт, м</t>
  </si>
  <si>
    <t xml:space="preserve">Кол-во опор данной марки</t>
  </si>
  <si>
    <t>Стойка</t>
  </si>
  <si>
    <t xml:space="preserve">Схема (учёт тяжения)</t>
  </si>
  <si>
    <t xml:space="preserve">Опор с пролётом свыше габаритного, шт</t>
  </si>
  <si>
    <t xml:space="preserve">Опор в ограниченно работоспособном состоянии, шт</t>
  </si>
  <si>
    <t xml:space="preserve">Средний пролёт, м (справочно)</t>
  </si>
  <si>
    <t xml:space="preserve">Наибольший угол поворота, град</t>
  </si>
  <si>
    <t xml:space="preserve">БЛОК 2. СУЩЕСТВУЮЩАЯ ПОДВЕСКА (провода ВЛ, грозотрос, ранее размещённые кабели связи)</t>
  </si>
  <si>
    <t xml:space="preserve">Марка провода / кабеля (из «Спр_Кабели» или вручную)</t>
  </si>
  <si>
    <t xml:space="preserve">Количество (шт. в подвесе)</t>
  </si>
  <si>
    <t>Принадлежность</t>
  </si>
  <si>
    <t xml:space="preserve">Примечание (договор — АВТО из «Паспорт»)</t>
  </si>
  <si>
    <t xml:space="preserve">АС 70/11</t>
  </si>
  <si>
    <t xml:space="preserve">Владелец (провода ВЛ)</t>
  </si>
  <si>
    <t>0,4</t>
  </si>
  <si>
    <t xml:space="preserve">СПРАВОЧНИК ПАРАМЕТРОВ ВЛ ПО КЛАССАМ НАПРЯЖЕНИЯ (константы ПУЭ-7, ПП РФ № 160)</t>
  </si>
  <si>
    <t xml:space="preserve">Габарит провода до земли (насел.), м</t>
  </si>
  <si>
    <t xml:space="preserve">Габарит провода до земли (ненасел.), м</t>
  </si>
  <si>
    <t xml:space="preserve">Габарит ОКСН до земли, м</t>
  </si>
  <si>
    <t xml:space="preserve">Мин. расстояние ОКСН–провод, м</t>
  </si>
  <si>
    <t xml:space="preserve">Охранная зона, м (ПП № 160)</t>
  </si>
  <si>
    <t xml:space="preserve">Габарит до зданий (насел.), м</t>
  </si>
  <si>
    <t>Сортировка</t>
  </si>
  <si>
    <t>6</t>
  </si>
  <si>
    <t>20</t>
  </si>
  <si>
    <t>35</t>
  </si>
  <si>
    <t>110</t>
  </si>
  <si>
    <t>150</t>
  </si>
  <si>
    <t>220</t>
  </si>
  <si>
    <t>330</t>
  </si>
  <si>
    <t xml:space="preserve">Примечание. Габариты проводов — ПУЭ-7 табл. 2.5.20/2.5.22 для нормального режима. Габарит ОКСН 5,0 м — ПУЭ-7 п. 2.4.89 и п. 3.2.4 ТТ № 282р. Охранная зона — ПП РФ № 160.</t>
  </si>
  <si>
    <t xml:space="preserve">СПРАВОЧНИК МАРОК РАЗМЕЩАЕМЫХ КАБЕЛЕЙ (ОКСН, ОКГТ, ОКНН, КМЖ и др.)</t>
  </si>
  <si>
    <t xml:space="preserve">Характеристики типовые для класса и подлежат уточнению по паспорту конкретного изделия. Тип элемента и диапазон напряжений — по ТТ № 282р. Свои марки заводятся в разделе «Справочники» рабочего места и в этот лист не переносятся: книга — снимок данных, справочник живёт в самом инструменте.</t>
  </si>
  <si>
    <t>Марка</t>
  </si>
  <si>
    <t>ОКСН-6-2,7</t>
  </si>
  <si>
    <t xml:space="preserve">ОКСН — самонесущий неметаллический</t>
  </si>
  <si>
    <t>0,4–35</t>
  </si>
  <si>
    <t xml:space="preserve">малопролётные, до 50 м</t>
  </si>
  <si>
    <t>0,4–110</t>
  </si>
  <si>
    <t xml:space="preserve">типовой пролёт до 70 м</t>
  </si>
  <si>
    <t>ОКСН-12-6,0</t>
  </si>
  <si>
    <t>0,4–220</t>
  </si>
  <si>
    <t xml:space="preserve">пролёты до 100 м</t>
  </si>
  <si>
    <t>ОКСН-16-9,0</t>
  </si>
  <si>
    <t>35–220</t>
  </si>
  <si>
    <t xml:space="preserve">пролёты до 150 м</t>
  </si>
  <si>
    <t>ОКСН-24-12</t>
  </si>
  <si>
    <t>110–330</t>
  </si>
  <si>
    <t xml:space="preserve">большие переходы</t>
  </si>
  <si>
    <t>ОКСН-24-20</t>
  </si>
  <si>
    <t>ОКГТ-с-1,3</t>
  </si>
  <si>
    <t xml:space="preserve">ОКГТ — встроенный в грозозащитный трос</t>
  </si>
  <si>
    <t xml:space="preserve">35 и выше</t>
  </si>
  <si>
    <t xml:space="preserve">замена грозотроса</t>
  </si>
  <si>
    <t>ОКГТ-с-1,8</t>
  </si>
  <si>
    <t xml:space="preserve">110 и выше</t>
  </si>
  <si>
    <t>ОКГТ-с-2,4</t>
  </si>
  <si>
    <t xml:space="preserve">220 и выше</t>
  </si>
  <si>
    <t>ОКНН-навив</t>
  </si>
  <si>
    <t xml:space="preserve">ОКНН — навиваемый на фазный провод/СИП</t>
  </si>
  <si>
    <t xml:space="preserve">навивка на провод</t>
  </si>
  <si>
    <t>ОКНН-прикр</t>
  </si>
  <si>
    <t xml:space="preserve">ОКНН — прикрепляемый к несущему элементу</t>
  </si>
  <si>
    <t xml:space="preserve">прикрепление к СИП</t>
  </si>
  <si>
    <t xml:space="preserve">КМЖ (кабель связи с жилами)</t>
  </si>
  <si>
    <t xml:space="preserve">КМЖ — кабель электросвязи с металлическими жилами</t>
  </si>
  <si>
    <t xml:space="preserve">0,4 (с СИП)</t>
  </si>
  <si>
    <t xml:space="preserve">только ВЛ 0,4 кВ с СИП</t>
  </si>
  <si>
    <t xml:space="preserve">Ответвительный ОК</t>
  </si>
  <si>
    <t xml:space="preserve">Ответвительный кабель (в жгуте)</t>
  </si>
  <si>
    <t xml:space="preserve">в пролёте только в жгуте</t>
  </si>
  <si>
    <t xml:space="preserve">Кабель (тип не определён)</t>
  </si>
  <si>
    <t xml:space="preserve">ОК без привязки к типу</t>
  </si>
  <si>
    <t xml:space="preserve">если тип не установлен при осмотре</t>
  </si>
  <si>
    <t>ОРК-4</t>
  </si>
  <si>
    <t xml:space="preserve">дроп-кабель абонентский, до 40 м</t>
  </si>
  <si>
    <t>ОРК-8</t>
  </si>
  <si>
    <t>ОРК-16</t>
  </si>
  <si>
    <t>ОКП-К-24</t>
  </si>
  <si>
    <t>0,4-110</t>
  </si>
  <si>
    <t xml:space="preserve">типовой пролёт до 100 м</t>
  </si>
  <si>
    <t>ОКМС-32</t>
  </si>
  <si>
    <t>0,4-220</t>
  </si>
  <si>
    <t xml:space="preserve">магистральный, пролёты до 120 м</t>
  </si>
  <si>
    <t>ОКМС-48</t>
  </si>
  <si>
    <t>ОКТ-Д(4,0)П-8А1</t>
  </si>
  <si>
    <t xml:space="preserve">согласно маркировке МДРТ 4 кН</t>
  </si>
  <si>
    <t>ОКДК-2Д-П-1У</t>
  </si>
  <si>
    <t xml:space="preserve">дроп-кабель круглый, до 35 м</t>
  </si>
  <si>
    <t>ОКСНЦ2П-10-01-0,22-8</t>
  </si>
  <si>
    <t>0,4-35</t>
  </si>
  <si>
    <t xml:space="preserve">с центральной трубкой, до 50 м</t>
  </si>
  <si>
    <t>ДПТс-П-32У(4х8)</t>
  </si>
  <si>
    <t>ДПТс-П-48У(6х8)</t>
  </si>
  <si>
    <t>ОС-М5-8-7,0</t>
  </si>
  <si>
    <t xml:space="preserve">согласно маркировке МДРТ 7 кН</t>
  </si>
  <si>
    <t>ОКСНМ-10-01-0,22-32</t>
  </si>
  <si>
    <t xml:space="preserve">многомодульный, до 100 м</t>
  </si>
  <si>
    <t>ОКСНМ-10-01-0,22-16</t>
  </si>
  <si>
    <t>ОКСНМ-10-01-0,22-8</t>
  </si>
  <si>
    <t>ОККС-0,22-48</t>
  </si>
  <si>
    <t>ОСКД-к-8Е2-3,0</t>
  </si>
  <si>
    <t xml:space="preserve">согласно маркировке МДРТ 3 кН</t>
  </si>
  <si>
    <t xml:space="preserve">СПРАВОЧНИК МАРОК ОПОР ПО ТИПОВЫМ ПРОЕКТАМ</t>
  </si>
  <si>
    <t xml:space="preserve">Допустимый изгибающий момент задан ПО СТОЙКЕ, а не по назначению опоры: одна и та же стойка не может иметь разные допустимые моменты. Подкосы, вторая стойка и оттяжки анкерных опор в запас несущей способности не учитываются. Момент от тяжения на анкерных, угловых, концевых и ответвительных опорах считается отдельно — см. графу «Схема». Отметка «по аналогии» в графе K означает, что момент, высота подвеса и габаритный пролёт приняты по стойке-аналогу: марка, назначение, серия и стойка взяты из типового проекта, а расчётные величины перед выпуском отчёта подтверждаются по проекту.</t>
  </si>
  <si>
    <t xml:space="preserve">Типовой проект / серия</t>
  </si>
  <si>
    <t xml:space="preserve">Доп. изгибающий момент стойки, кН·м</t>
  </si>
  <si>
    <t xml:space="preserve">Источник расчётных величин</t>
  </si>
  <si>
    <t>Класс</t>
  </si>
  <si>
    <t xml:space="preserve">Имя диапазона</t>
  </si>
  <si>
    <t xml:space="preserve">Примечание к перечню</t>
  </si>
  <si>
    <t>П8-1</t>
  </si>
  <si>
    <t>Железобетонная</t>
  </si>
  <si>
    <t>Промежуточная</t>
  </si>
  <si>
    <t xml:space="preserve">3.407.1-136 вып.1</t>
  </si>
  <si>
    <t>СВ95-2</t>
  </si>
  <si>
    <t>промежуточная</t>
  </si>
  <si>
    <t xml:space="preserve">типовой проект</t>
  </si>
  <si>
    <t>Опоры_0_4</t>
  </si>
  <si>
    <t>П8-2</t>
  </si>
  <si>
    <t xml:space="preserve">Промежуточная (насел.)</t>
  </si>
  <si>
    <t>Опоры_6</t>
  </si>
  <si>
    <t>УП8-1</t>
  </si>
  <si>
    <t>Промежуточно-угловая</t>
  </si>
  <si>
    <t>угловая</t>
  </si>
  <si>
    <t>Опоры_10</t>
  </si>
  <si>
    <t>А8-1</t>
  </si>
  <si>
    <t xml:space="preserve">Анкерная (концевая)</t>
  </si>
  <si>
    <t>анкерная</t>
  </si>
  <si>
    <t>Опоры_35</t>
  </si>
  <si>
    <t>УА8-1</t>
  </si>
  <si>
    <t xml:space="preserve">Анкерная угловая</t>
  </si>
  <si>
    <t xml:space="preserve">угловая анкерная</t>
  </si>
  <si>
    <t>Опоры_110</t>
  </si>
  <si>
    <t>ОА8-1</t>
  </si>
  <si>
    <t xml:space="preserve">Ответвительная анкерная</t>
  </si>
  <si>
    <t>ответвительная</t>
  </si>
  <si>
    <t xml:space="preserve">своих марок нет — показан перечень 10 кВ (серии 6—20 кВ общие)</t>
  </si>
  <si>
    <t>КА8-1</t>
  </si>
  <si>
    <t xml:space="preserve">Концевая анкерная</t>
  </si>
  <si>
    <t>концевая</t>
  </si>
  <si>
    <t xml:space="preserve">своих марок нет — показан перечень 110 кВ</t>
  </si>
  <si>
    <t>П8-3</t>
  </si>
  <si>
    <t xml:space="preserve">3.407.1-136 вып.3</t>
  </si>
  <si>
    <t>СВ110-3,5</t>
  </si>
  <si>
    <t>УА8-3</t>
  </si>
  <si>
    <t xml:space="preserve">Опора 0,4 (дерев.)</t>
  </si>
  <si>
    <t>Деревянная</t>
  </si>
  <si>
    <t xml:space="preserve">по проекту (дерев.)</t>
  </si>
  <si>
    <t xml:space="preserve">бревно d ≥ 160</t>
  </si>
  <si>
    <t xml:space="preserve">Опора 0,4 (дерев. на приставке)</t>
  </si>
  <si>
    <t xml:space="preserve">Деревянная на ж/б приставке</t>
  </si>
  <si>
    <t xml:space="preserve">по проекту</t>
  </si>
  <si>
    <t xml:space="preserve">приставка ПТ-33</t>
  </si>
  <si>
    <t>П23</t>
  </si>
  <si>
    <t xml:space="preserve">Промежуточная одноцепная</t>
  </si>
  <si>
    <t>25.0017</t>
  </si>
  <si>
    <t xml:space="preserve">по аналогии со стойкой</t>
  </si>
  <si>
    <t>П24</t>
  </si>
  <si>
    <t xml:space="preserve">Промежуточная двухцепная</t>
  </si>
  <si>
    <t>ПП23</t>
  </si>
  <si>
    <t xml:space="preserve">Переходная промежуточная одноцепная</t>
  </si>
  <si>
    <t>СВ105</t>
  </si>
  <si>
    <t>ПП24</t>
  </si>
  <si>
    <t xml:space="preserve">Переходная промежуточная двухцепная</t>
  </si>
  <si>
    <t>УП23</t>
  </si>
  <si>
    <t xml:space="preserve">Промежуточно-угловая одноцепная</t>
  </si>
  <si>
    <t>УП24</t>
  </si>
  <si>
    <t xml:space="preserve">Промежуточно-угловая двухцепная</t>
  </si>
  <si>
    <t>А23</t>
  </si>
  <si>
    <t xml:space="preserve">Анкерная (концевая) одноцепная</t>
  </si>
  <si>
    <t>А24</t>
  </si>
  <si>
    <t xml:space="preserve">Анкерная (концевая) двухцепная</t>
  </si>
  <si>
    <t>ПА23</t>
  </si>
  <si>
    <t xml:space="preserve">Переходная анкерная одноцепная</t>
  </si>
  <si>
    <t>ПА24</t>
  </si>
  <si>
    <t xml:space="preserve">Переходная анкерная двухцепная</t>
  </si>
  <si>
    <t>УА23</t>
  </si>
  <si>
    <t xml:space="preserve">Анкерная угловая одноцепная</t>
  </si>
  <si>
    <t>УА24</t>
  </si>
  <si>
    <t xml:space="preserve">Анкерная угловая двухцепная</t>
  </si>
  <si>
    <t>ПУА23</t>
  </si>
  <si>
    <t xml:space="preserve">Переходная анкерная угловая одноцепная</t>
  </si>
  <si>
    <t>ПУА24</t>
  </si>
  <si>
    <t xml:space="preserve">Переходная анкерная угловая двухцепная</t>
  </si>
  <si>
    <t>ОА23</t>
  </si>
  <si>
    <t xml:space="preserve">Ответвительная анкерная одноцепная</t>
  </si>
  <si>
    <t>ОА24</t>
  </si>
  <si>
    <t xml:space="preserve">Ответвительная анкерная двухцепная</t>
  </si>
  <si>
    <t xml:space="preserve">П10-1 (6 кВ)</t>
  </si>
  <si>
    <t>3.407.1-143.1</t>
  </si>
  <si>
    <t xml:space="preserve">УА10-1 (6 кВ)</t>
  </si>
  <si>
    <t xml:space="preserve">А10-1 (6 кВ)</t>
  </si>
  <si>
    <t xml:space="preserve">Опора 6 (дерев.)</t>
  </si>
  <si>
    <t xml:space="preserve">бревно d ≥ 180</t>
  </si>
  <si>
    <t xml:space="preserve">Промежуточная (ненасел.)</t>
  </si>
  <si>
    <t xml:space="preserve">3.407.1-143 вып.1</t>
  </si>
  <si>
    <t>П10-2</t>
  </si>
  <si>
    <t>УП10-1</t>
  </si>
  <si>
    <t xml:space="preserve">Промежуточно-угловая (до 30°)</t>
  </si>
  <si>
    <t>А10-1</t>
  </si>
  <si>
    <t xml:space="preserve">Анкерная угловая (до 90°)</t>
  </si>
  <si>
    <t>ОА10-1</t>
  </si>
  <si>
    <t>УОА10-1</t>
  </si>
  <si>
    <t xml:space="preserve">Угловая ответвительная анкерная</t>
  </si>
  <si>
    <t>П10-3</t>
  </si>
  <si>
    <t xml:space="preserve">3.407.1-143 вып.2</t>
  </si>
  <si>
    <t>СВ110</t>
  </si>
  <si>
    <t>П10-4</t>
  </si>
  <si>
    <t>УП10-2</t>
  </si>
  <si>
    <t>А10-2</t>
  </si>
  <si>
    <t>УА10-2</t>
  </si>
  <si>
    <t>ОА10-2</t>
  </si>
  <si>
    <t>УОА10-2</t>
  </si>
  <si>
    <t>П10-5</t>
  </si>
  <si>
    <t xml:space="preserve">3.407.1-143 вып.3</t>
  </si>
  <si>
    <t>СВ13</t>
  </si>
  <si>
    <t>УП10-3</t>
  </si>
  <si>
    <t>А10-3</t>
  </si>
  <si>
    <t>УА10-3</t>
  </si>
  <si>
    <t>ОА10-3</t>
  </si>
  <si>
    <t>УОА10-3</t>
  </si>
  <si>
    <t xml:space="preserve">Опора 10 (дерев.)</t>
  </si>
  <si>
    <t xml:space="preserve">Опора 10 (дерев. на приставке)</t>
  </si>
  <si>
    <t xml:space="preserve">приставка ПТ-43</t>
  </si>
  <si>
    <t>П20-1Н</t>
  </si>
  <si>
    <t xml:space="preserve">Промежуточная (защищённый провод)</t>
  </si>
  <si>
    <t>27.0002</t>
  </si>
  <si>
    <t>СВ105-5</t>
  </si>
  <si>
    <t>УП20-1Н</t>
  </si>
  <si>
    <t xml:space="preserve">Промежуточно-угловая (защищённый провод)</t>
  </si>
  <si>
    <t>А20-1Н</t>
  </si>
  <si>
    <t xml:space="preserve">Анкерная (концевая) (защищённый провод)</t>
  </si>
  <si>
    <t>УА20-1Н</t>
  </si>
  <si>
    <t xml:space="preserve">Анкерная угловая (защищённый провод)</t>
  </si>
  <si>
    <t>ОА20-1Н</t>
  </si>
  <si>
    <t xml:space="preserve">Ответвительная анкерная (защищённый провод)</t>
  </si>
  <si>
    <t>УОА20-1Н</t>
  </si>
  <si>
    <t xml:space="preserve">Угловая ответвительная анкерная (защищённый провод)</t>
  </si>
  <si>
    <t>П20-3Н</t>
  </si>
  <si>
    <t>СВ110-5</t>
  </si>
  <si>
    <t>УП20-3Н</t>
  </si>
  <si>
    <t>А20-3Н</t>
  </si>
  <si>
    <t>УА20-3Н</t>
  </si>
  <si>
    <t>ОА20-3Н</t>
  </si>
  <si>
    <t>УОА20-3Н</t>
  </si>
  <si>
    <t>П10-11м</t>
  </si>
  <si>
    <t>28.0006</t>
  </si>
  <si>
    <t>СВ115-7</t>
  </si>
  <si>
    <t>П10-11н</t>
  </si>
  <si>
    <t>УП10-11</t>
  </si>
  <si>
    <t>А10-11</t>
  </si>
  <si>
    <t>УА10-11</t>
  </si>
  <si>
    <t>ОА10-11</t>
  </si>
  <si>
    <t>УОА10-11</t>
  </si>
  <si>
    <t>ПМ10-1</t>
  </si>
  <si>
    <t xml:space="preserve">Стальная многогранная</t>
  </si>
  <si>
    <t>22.0028</t>
  </si>
  <si>
    <t>СМ110-6б</t>
  </si>
  <si>
    <t>ПМ10-2</t>
  </si>
  <si>
    <t>УПМ10-1</t>
  </si>
  <si>
    <t>СМ118-25</t>
  </si>
  <si>
    <t>АМ10-1</t>
  </si>
  <si>
    <t>УАМ10-1</t>
  </si>
  <si>
    <t>ОАМ10-1</t>
  </si>
  <si>
    <t>ППМ10-1</t>
  </si>
  <si>
    <t xml:space="preserve">Переходная промежуточная</t>
  </si>
  <si>
    <t>ПАМ10-1</t>
  </si>
  <si>
    <t xml:space="preserve">Переходная анкерная</t>
  </si>
  <si>
    <t>ПАМ10-2</t>
  </si>
  <si>
    <t>СМ10П</t>
  </si>
  <si>
    <t>3.407.2-181.09</t>
  </si>
  <si>
    <t xml:space="preserve">стальная многогранная стойка</t>
  </si>
  <si>
    <t>СМ10АУ</t>
  </si>
  <si>
    <t xml:space="preserve">Анкерно-угловая (до 60°)</t>
  </si>
  <si>
    <t>СМ10АП</t>
  </si>
  <si>
    <t xml:space="preserve">Анкерная переходная (до 30°)</t>
  </si>
  <si>
    <t xml:space="preserve">Композитная промежуточная (одноцепная)</t>
  </si>
  <si>
    <t>Композитная</t>
  </si>
  <si>
    <t xml:space="preserve">СТО 34.01-2.2-031-2017 т. 2.5</t>
  </si>
  <si>
    <t xml:space="preserve">композитная стойка</t>
  </si>
  <si>
    <t xml:space="preserve">Композитная угловая анкерная (одноцепная)</t>
  </si>
  <si>
    <t xml:space="preserve">Композитная промежуточная (двухцепная)</t>
  </si>
  <si>
    <t xml:space="preserve">Композитная угловая анкерная (двухцепная)</t>
  </si>
  <si>
    <t>П35-1</t>
  </si>
  <si>
    <t>Стальная</t>
  </si>
  <si>
    <t>3078тм-т7</t>
  </si>
  <si>
    <t xml:space="preserve">— (стальная конструкция)</t>
  </si>
  <si>
    <t>П35-1Т</t>
  </si>
  <si>
    <t xml:space="preserve">Промежуточная одноцепная (с тросостойкой)</t>
  </si>
  <si>
    <t>П35-1У</t>
  </si>
  <si>
    <t xml:space="preserve">Промежуточная одноцепная угловая</t>
  </si>
  <si>
    <t>П35-2</t>
  </si>
  <si>
    <t>3.407.2-170</t>
  </si>
  <si>
    <t>П35-2Т</t>
  </si>
  <si>
    <t xml:space="preserve">Промежуточная двухцепная (с тросостойкой)</t>
  </si>
  <si>
    <t>ПС35-2</t>
  </si>
  <si>
    <t xml:space="preserve">Промежуточная специальная двухцепная</t>
  </si>
  <si>
    <t>ПС35-4</t>
  </si>
  <si>
    <t>3079тм-т6</t>
  </si>
  <si>
    <t>У35-1</t>
  </si>
  <si>
    <t xml:space="preserve">Анкерно-угловая одноцепная</t>
  </si>
  <si>
    <t>3078тм-т10</t>
  </si>
  <si>
    <t>У35-2</t>
  </si>
  <si>
    <t xml:space="preserve">Анкерно-угловая двухцепная</t>
  </si>
  <si>
    <t>ПБ35-1</t>
  </si>
  <si>
    <t xml:space="preserve">Промежуточная (на стойке СК)</t>
  </si>
  <si>
    <t>3.407.1-163</t>
  </si>
  <si>
    <t>СК22</t>
  </si>
  <si>
    <t>УБ35-1</t>
  </si>
  <si>
    <t>Анкерно-угловая</t>
  </si>
  <si>
    <t>3.407.1-151</t>
  </si>
  <si>
    <t>ПБ35-11</t>
  </si>
  <si>
    <t xml:space="preserve">Промежуточная (полимерные изоляторы)</t>
  </si>
  <si>
    <t>ЛЭП98.16</t>
  </si>
  <si>
    <t>УПБ35-11</t>
  </si>
  <si>
    <t xml:space="preserve">Промежуточно-угловая (полимерные изоляторы)</t>
  </si>
  <si>
    <t>АБ35-11</t>
  </si>
  <si>
    <t xml:space="preserve">Анкерная (концевая), подкосная</t>
  </si>
  <si>
    <t>УАБ35-11</t>
  </si>
  <si>
    <t>ОАБ35-11</t>
  </si>
  <si>
    <t>ПБ35-1.1</t>
  </si>
  <si>
    <t>3.407.1-164</t>
  </si>
  <si>
    <t>СК32.2-1</t>
  </si>
  <si>
    <t>ПБ35-1.1Т</t>
  </si>
  <si>
    <t>ПБ35-2.1</t>
  </si>
  <si>
    <t>ПБ35-3.1</t>
  </si>
  <si>
    <t>ПБГ35-1.1</t>
  </si>
  <si>
    <t xml:space="preserve">Промежуточная (габаритная)</t>
  </si>
  <si>
    <t>ПУБ35-110-1.1</t>
  </si>
  <si>
    <t>УБ35-110-1.1</t>
  </si>
  <si>
    <t>КБ35-110-1.1</t>
  </si>
  <si>
    <t>Концевая</t>
  </si>
  <si>
    <t>П110-1</t>
  </si>
  <si>
    <t>3078тм-т9</t>
  </si>
  <si>
    <t>П110-2</t>
  </si>
  <si>
    <t>П110-3</t>
  </si>
  <si>
    <t>П110-4</t>
  </si>
  <si>
    <t>П110-5</t>
  </si>
  <si>
    <t>П110-6</t>
  </si>
  <si>
    <t>ПС110-3</t>
  </si>
  <si>
    <t xml:space="preserve">Промежуточная специальная одноцепная</t>
  </si>
  <si>
    <t>ПС110-4</t>
  </si>
  <si>
    <t>ПС110-9</t>
  </si>
  <si>
    <t xml:space="preserve">Промежуточная специальная</t>
  </si>
  <si>
    <t>У110-1</t>
  </si>
  <si>
    <t>У110-2</t>
  </si>
  <si>
    <t>У110-3</t>
  </si>
  <si>
    <t>7227тм-т2</t>
  </si>
  <si>
    <t>У110-4</t>
  </si>
  <si>
    <t>УС110-3</t>
  </si>
  <si>
    <t xml:space="preserve">Анкерно-угловая специальная</t>
  </si>
  <si>
    <t>3079тм-т4</t>
  </si>
  <si>
    <t>УС110-5</t>
  </si>
  <si>
    <t>3079тм-т5</t>
  </si>
  <si>
    <t>ПБ110-1</t>
  </si>
  <si>
    <t xml:space="preserve">Промежуточная (на стойке СК22)</t>
  </si>
  <si>
    <t>ПБ110-4</t>
  </si>
  <si>
    <t xml:space="preserve">Промежуточная (на стойке СК26)</t>
  </si>
  <si>
    <t>СК26</t>
  </si>
  <si>
    <t>ПБ110-6</t>
  </si>
  <si>
    <t xml:space="preserve">Промежуточная бетонная</t>
  </si>
  <si>
    <t xml:space="preserve">3.407-131 вып.1</t>
  </si>
  <si>
    <t>УБ110-1</t>
  </si>
  <si>
    <t xml:space="preserve">Анкерно-угловая (на стойке СК)</t>
  </si>
  <si>
    <t>П3</t>
  </si>
  <si>
    <t>ЛЭП98.02</t>
  </si>
  <si>
    <t>СВ-95-3</t>
  </si>
  <si>
    <t>УА3</t>
  </si>
  <si>
    <t xml:space="preserve">Угловая анкерная</t>
  </si>
  <si>
    <t>ОА3</t>
  </si>
  <si>
    <t>К3</t>
  </si>
  <si>
    <t xml:space="preserve">21.0045 (ВЛИ 0,4 кВ)</t>
  </si>
  <si>
    <t>СВ-95-2</t>
  </si>
  <si>
    <t>10/0,4</t>
  </si>
  <si>
    <t>П10/0,38</t>
  </si>
  <si>
    <t xml:space="preserve">Промежуточная (совместная)</t>
  </si>
  <si>
    <t xml:space="preserve">25.0017 / ЛЭП98.10</t>
  </si>
  <si>
    <t>УА10/0,38</t>
  </si>
  <si>
    <t xml:space="preserve">Угловая анкерная (совместная)</t>
  </si>
  <si>
    <t>ОА10/0,38</t>
  </si>
  <si>
    <t xml:space="preserve">Ответвительная (совместная)</t>
  </si>
  <si>
    <t>А10/0,38</t>
  </si>
  <si>
    <t xml:space="preserve">Анкерная (совместная)</t>
  </si>
  <si>
    <t>ПР1</t>
  </si>
  <si>
    <t xml:space="preserve">Промежуточная (с разъединителем)</t>
  </si>
  <si>
    <t xml:space="preserve">27.0002 / ЛЭП98.08</t>
  </si>
  <si>
    <t>КР1</t>
  </si>
  <si>
    <t xml:space="preserve">Концевая (с разъединителем)</t>
  </si>
  <si>
    <t>АР1</t>
  </si>
  <si>
    <t xml:space="preserve">Анкерная (с разъединителем)</t>
  </si>
  <si>
    <t xml:space="preserve">СПРАВОЧНИК ВИДОВ ИЗМЕРЕНИЙ (осмотр и измерения — в границах отчёта ППО)</t>
  </si>
  <si>
    <t xml:space="preserve">Раздел Г.1 — фактическое состояние конструкции. Раздел Г.2 — фактически свободные интервалы под ещё не смонтированный кабель: кабеля на опоре нет, измерять нечего, поэтому вывод даётся в форме «достаточно / недостаточно». Графа «Что вводится» показывает измеряемые в поле величины: остальное рабочее место считает само.</t>
  </si>
  <si>
    <t xml:space="preserve">Место (отметка)</t>
  </si>
  <si>
    <t xml:space="preserve">Что вводится в поле</t>
  </si>
  <si>
    <t xml:space="preserve">Значение (образец)</t>
  </si>
  <si>
    <t xml:space="preserve">Вывод (образец)</t>
  </si>
  <si>
    <t>вершина</t>
  </si>
  <si>
    <t xml:space="preserve">Угол отклонения от вертикали, град; Высота опоры (надземная часть), м</t>
  </si>
  <si>
    <t>1/115</t>
  </si>
  <si>
    <t xml:space="preserve">не более 1/100 высоты опоры (ГОСТ 31937-2024, СП 20.13330.2016)</t>
  </si>
  <si>
    <t>соответствует</t>
  </si>
  <si>
    <t xml:space="preserve">Г.1 — фактическое состояние</t>
  </si>
  <si>
    <t xml:space="preserve">1,2 м</t>
  </si>
  <si>
    <t xml:space="preserve">Фактическая прочность, МПа; Проектный класс бетона (число, МПа)</t>
  </si>
  <si>
    <t>МПа</t>
  </si>
  <si>
    <t xml:space="preserve">не ниже проектного класса бетона B30 (ГОСТ 22690-2015)</t>
  </si>
  <si>
    <t xml:space="preserve">середина пролёта</t>
  </si>
  <si>
    <t xml:space="preserve">Замеренный габарит, м</t>
  </si>
  <si>
    <t>7,5</t>
  </si>
  <si>
    <t>м</t>
  </si>
  <si>
    <t xml:space="preserve">не менее 7 м для 10 кВ (ПУЭ-7, табл. 2.5.20/2.5.22)</t>
  </si>
  <si>
    <t xml:space="preserve">Свободная высота под размещение ОК над землёй</t>
  </si>
  <si>
    <t xml:space="preserve">Фактически свободный интервал, м</t>
  </si>
  <si>
    <t>5,5</t>
  </si>
  <si>
    <t xml:space="preserve">не менее 5,0 м (ПУЭ-7 п. 2.4.89; ТТ № 282р п. 3.2.4)</t>
  </si>
  <si>
    <t>достаточно</t>
  </si>
  <si>
    <t xml:space="preserve">Г.2 — достаточность интервалов</t>
  </si>
  <si>
    <t xml:space="preserve">Свободный интервал от предполагаемой точки подвеса ОК до провода</t>
  </si>
  <si>
    <t xml:space="preserve">узел крепления</t>
  </si>
  <si>
    <t>0,8</t>
  </si>
  <si>
    <t xml:space="preserve">не менее 0,6 м для 10 кВ (ТТ № 282р п. 3.2.2)</t>
  </si>
  <si>
    <t xml:space="preserve">Свободный интервал от точки подвеса ОК до элементов опоры</t>
  </si>
  <si>
    <t>траверса</t>
  </si>
  <si>
    <t>0,3</t>
  </si>
  <si>
    <t xml:space="preserve">не менее 0,20 м (ТТ № 282р п. 3.2.3)</t>
  </si>
  <si>
    <t xml:space="preserve">Глубина заложения / состояние закрепления в грунте</t>
  </si>
  <si>
    <t>основание</t>
  </si>
  <si>
    <t xml:space="preserve">Фактическая глубина, м; Требуется по типовому проекту, м</t>
  </si>
  <si>
    <t>2,2</t>
  </si>
  <si>
    <t xml:space="preserve">не менее 2 м по типовому проекту опоры; без просадок и оголения (ГОСТ 31937-2024)</t>
  </si>
  <si>
    <t xml:space="preserve">Диаметр стойки (сечение)</t>
  </si>
  <si>
    <t xml:space="preserve">уровень земли</t>
  </si>
  <si>
    <t xml:space="preserve">Замеренный диаметр, м; По типовому проекту, м</t>
  </si>
  <si>
    <t>0,164</t>
  </si>
  <si>
    <t xml:space="preserve">по типовому проекту опоры (0,164 м)</t>
  </si>
  <si>
    <t xml:space="preserve">Ширина раскрытия трещин ж/б стойки</t>
  </si>
  <si>
    <t xml:space="preserve">зона заделки</t>
  </si>
  <si>
    <t xml:space="preserve">Ширина раскрытия, мм; Допускается, мм</t>
  </si>
  <si>
    <t>мм</t>
  </si>
  <si>
    <t xml:space="preserve">Толщина защитного слоя бетона</t>
  </si>
  <si>
    <t>стойка</t>
  </si>
  <si>
    <t xml:space="preserve">Фактическая толщина, мм; По проекту, мм</t>
  </si>
  <si>
    <t xml:space="preserve">Сопротивление заземляющего устройства опоры</t>
  </si>
  <si>
    <t>заземлитель</t>
  </si>
  <si>
    <t xml:space="preserve">Замеренное сопротивление, Ом; Удельное сопротивление грунта ρ, Ом·м</t>
  </si>
  <si>
    <t>Ом</t>
  </si>
  <si>
    <t xml:space="preserve">Свободный интервал по вертикали для точки крепления ОК</t>
  </si>
  <si>
    <t>опора</t>
  </si>
  <si>
    <t xml:space="preserve">Свободный интервал по горизонтали для точки крепления ОК</t>
  </si>
  <si>
    <t xml:space="preserve">СПРАВОЧНИК ДЕФЕКТОВ И ПОСЛЕДСТВИЙ (осмотр по ГОСТ 31937-2024)</t>
  </si>
  <si>
    <t xml:space="preserve">Дефектной опору делает КАТЕГОРИЯ, и только она: категория задаёт состояние конструкции, вывод о технологической возможности и коэффициент снижения несущей способности. Описание при категории «—» дефектом не считается: опора остаётся бездефектной, а описание уходит в графу «Примечание» перечня опор.</t>
  </si>
  <si>
    <t xml:space="preserve">Дефект (типовое описание)</t>
  </si>
  <si>
    <t xml:space="preserve">Коэффициент снижения</t>
  </si>
  <si>
    <t xml:space="preserve">Мероприятие (рекомендация в проект)</t>
  </si>
  <si>
    <t>Работоспособное</t>
  </si>
  <si>
    <t>есть</t>
  </si>
  <si>
    <t xml:space="preserve">Разрушение защитного слоя бетона с обнажением и коррозией арматуры</t>
  </si>
  <si>
    <t>Аварийное</t>
  </si>
  <si>
    <t>отсутствует</t>
  </si>
  <si>
    <t xml:space="preserve">Замена стойки (в проектную документацию)</t>
  </si>
  <si>
    <t xml:space="preserve">Размещение до восстановления несущей способности не допускается</t>
  </si>
  <si>
    <t>А</t>
  </si>
  <si>
    <t xml:space="preserve">Загнивание древесины</t>
  </si>
  <si>
    <t xml:space="preserve">Отклонение стойки от вертикали сверх допустимого; трещины с раскрытием сверх нормы</t>
  </si>
  <si>
    <t xml:space="preserve">Ограниченно работоспособное</t>
  </si>
  <si>
    <t xml:space="preserve">есть при условии</t>
  </si>
  <si>
    <t xml:space="preserve">Выправка опоры / усиление (в проектную документацию)</t>
  </si>
  <si>
    <t xml:space="preserve">Размещение после выполнения мероприятий</t>
  </si>
  <si>
    <t>В</t>
  </si>
  <si>
    <t xml:space="preserve">Малозначительные повреждения (поверхностные сколы, загрязнение, коррозия арматуры без потери сечения)</t>
  </si>
  <si>
    <t xml:space="preserve">Устранение при плановом обслуживании</t>
  </si>
  <si>
    <t xml:space="preserve">Не препятствует размещению</t>
  </si>
  <si>
    <t xml:space="preserve">Класс напряжения</t>
  </si>
  <si>
    <t xml:space="preserve">Вывод по измерению</t>
  </si>
  <si>
    <t xml:space="preserve">Принадлежность подвески</t>
  </si>
  <si>
    <t xml:space="preserve">Исполнитель мероприятия</t>
  </si>
  <si>
    <t xml:space="preserve">Местность опоры</t>
  </si>
  <si>
    <t xml:space="preserve">Группа мероприятия</t>
  </si>
  <si>
    <t xml:space="preserve">Схема производства работ</t>
  </si>
  <si>
    <t xml:space="preserve">Вывод по достаточности</t>
  </si>
  <si>
    <t xml:space="preserve">Правило выборки при измерении заземления</t>
  </si>
  <si>
    <t xml:space="preserve">Владелец инфраструктуры</t>
  </si>
  <si>
    <t xml:space="preserve">Е.1 — обусловлено размещением (пользователь)</t>
  </si>
  <si>
    <t xml:space="preserve">со снятием напряжения</t>
  </si>
  <si>
    <t xml:space="preserve">все опоры с заземляющими устройствами</t>
  </si>
  <si>
    <t>ненаселённая</t>
  </si>
  <si>
    <t xml:space="preserve">Владелец (грозотрос)</t>
  </si>
  <si>
    <t xml:space="preserve">Пользователь инфраструктуры</t>
  </si>
  <si>
    <t xml:space="preserve">Е.2 — эксплуатация (владелец)</t>
  </si>
  <si>
    <t xml:space="preserve">без снятия напряжения (вне охранной зоны)</t>
  </si>
  <si>
    <t>недостаточно</t>
  </si>
  <si>
    <t>труднодоступная</t>
  </si>
  <si>
    <t xml:space="preserve">Иной пользователь инфраструктуры</t>
  </si>
  <si>
    <t xml:space="preserve">Определяется проектной документацией</t>
  </si>
  <si>
    <t xml:space="preserve">выборка 10 % опор</t>
  </si>
  <si>
    <t xml:space="preserve">Данный пользователь (ранее размещённое)</t>
  </si>
  <si>
    <t xml:space="preserve">без снятия напряжения (в охранной зоне, по распоряжению)</t>
  </si>
  <si>
    <t xml:space="preserve">выборка 20 % опор</t>
  </si>
  <si>
    <t xml:space="preserve">СПРАВОЧНИК ПРОВОДОВ ВЛ И ГРОЗОЗАЩИТНЫХ ТРОСОВ</t>
  </si>
  <si>
    <t xml:space="preserve">Собственные провода линии участвуют в расчёте несущей способности наравне с размещаемым кабелем. Без них приложение Ж считает нагрузку только по кабелю связи и завышает запас в разы. Графа F — сводный перечень марок для выпадающего списка Блока 2 листа «Нагрузки»: сначала кабели, затем провода.</t>
  </si>
  <si>
    <t xml:space="preserve">Марка провода / троса</t>
  </si>
  <si>
    <t>Вид</t>
  </si>
  <si>
    <t xml:space="preserve">Марки для Блока 2 «Нагрузки»</t>
  </si>
  <si>
    <t xml:space="preserve">АС 10/1,8</t>
  </si>
  <si>
    <t>сталеалюминиевый</t>
  </si>
  <si>
    <t xml:space="preserve">АС 16/2,7</t>
  </si>
  <si>
    <t xml:space="preserve">АС 25/4,2</t>
  </si>
  <si>
    <t xml:space="preserve">АС 35/6.2</t>
  </si>
  <si>
    <t xml:space="preserve">АС 50/8</t>
  </si>
  <si>
    <t xml:space="preserve">АС 95/16</t>
  </si>
  <si>
    <t xml:space="preserve">АС 120/19</t>
  </si>
  <si>
    <t xml:space="preserve">АС 150/24</t>
  </si>
  <si>
    <t xml:space="preserve">АС 185/29</t>
  </si>
  <si>
    <t xml:space="preserve">АС 240/32</t>
  </si>
  <si>
    <t xml:space="preserve">СИП-2 3х70+1х95</t>
  </si>
  <si>
    <t xml:space="preserve">самонесущий изолированный</t>
  </si>
  <si>
    <t xml:space="preserve">СИП-3 1х70</t>
  </si>
  <si>
    <t xml:space="preserve">защищённый провод</t>
  </si>
  <si>
    <t xml:space="preserve">ТК-9 (трос)</t>
  </si>
  <si>
    <t xml:space="preserve">грозозащитный трос</t>
  </si>
  <si>
    <t xml:space="preserve">ТК-11 (трос)</t>
  </si>
  <si>
    <t xml:space="preserve">СПРАВОЧНИК СРЕДСТВ ИЗМЕРЕНИЙ</t>
  </si>
  <si>
    <t xml:space="preserve">Первые строки — приборы подразделения: по ним известны заводской номер и запись о поверке во ФГИС «Аршин», и в рабочем месте они подставляются целиком. Остальные позиции типовые: наименование и марка берутся отсюда, заводской номер и поверка заполняются по конкретному экземпляру. Дата окончания поверки — год минус день от даты поверки (ФЗ от 26.06.2008 № 102-ФЗ, приказ Минпромторга № 2510).</t>
  </si>
  <si>
    <t xml:space="preserve">Наименование прибора</t>
  </si>
  <si>
    <t xml:space="preserve">Заводской номер</t>
  </si>
  <si>
    <t xml:space="preserve">№ записи о поверке </t>
  </si>
  <si>
    <t xml:space="preserve">Закреплён за подразделением</t>
  </si>
  <si>
    <t xml:space="preserve">Для каких измерений пригоден</t>
  </si>
  <si>
    <t xml:space="preserve">Склерометр (Измеритель прочности бетона)</t>
  </si>
  <si>
    <t>да</t>
  </si>
  <si>
    <t xml:space="preserve">Теодолит (Измеритель угла наклона)</t>
  </si>
  <si>
    <t>С-ДЮП/27-08-2026</t>
  </si>
  <si>
    <t>Угломер</t>
  </si>
  <si>
    <t xml:space="preserve">RGK U-66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</si>
</sst>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2">
    <font>
      <sz val="11.000000"/>
      <color theme="1"/>
      <name val="Calibri"/>
      <scheme val="minor"/>
    </font>
    <font>
      <b/>
      <sz val="11.000000"/>
      <color rgb="FF005B9C"/>
      <name val="Arial"/>
    </font>
    <font>
      <b/>
      <sz val="10.000000"/>
      <color indexed="65"/>
      <name val="Arial"/>
    </font>
    <font>
      <b/>
      <sz val="12.000000"/>
      <color rgb="FF005B9C"/>
      <name val="Arial"/>
    </font>
    <font>
      <b/>
      <sz val="10.000000"/>
      <color rgb="FF10243A"/>
      <name val="Arial"/>
    </font>
    <font>
      <sz val="9.000000"/>
      <color rgb="FF6B7480"/>
      <name val="Arial"/>
    </font>
    <font>
      <sz val="10.000000"/>
      <name val="Arial"/>
    </font>
    <font>
      <i/>
      <sz val="9.000000"/>
      <color rgb="FF6B7480"/>
      <name val="Arial"/>
    </font>
    <font>
      <i/>
      <sz val="10.000000"/>
      <color rgb="FF6B7480"/>
      <name val="Arial"/>
    </font>
    <font>
      <i/>
      <sz val="11.000000"/>
      <color rgb="FF6B7480"/>
      <name val="Arial"/>
    </font>
    <font>
      <i/>
      <sz val="9.000000"/>
      <color rgb="FFB26A00"/>
      <name val="Arial"/>
    </font>
    <font>
      <b/>
      <sz val="9.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5B9C"/>
        <bgColor rgb="FF005B9C"/>
      </patternFill>
    </fill>
    <fill>
      <patternFill patternType="solid">
        <fgColor rgb="FFDCE6F1"/>
        <bgColor rgb="FFDCE6F1"/>
      </patternFill>
    </fill>
    <fill>
      <patternFill patternType="solid">
        <fgColor rgb="FFEDEFF2"/>
        <bgColor rgb="FFEDEFF2"/>
      </patternFill>
    </fill>
    <fill>
      <patternFill patternType="solid">
        <fgColor rgb="FFFFF7D6"/>
        <bgColor rgb="FFFFF7D6"/>
      </patternFill>
    </fill>
    <fill>
      <patternFill patternType="solid">
        <fgColor rgb="FFE8F0E4"/>
        <bgColor rgb="FFE8F0E4"/>
      </patternFill>
    </fill>
    <fill>
      <patternFill patternType="solid">
        <fgColor rgb="FFFFF7D6"/>
        <bgColor rgb="FFFFF7D6"/>
      </patternFill>
    </fill>
    <fill>
      <patternFill patternType="solid">
        <fgColor rgb="FFE8F0E4"/>
        <bgColor rgb="FFE8F0E4"/>
      </patternFill>
    </fill>
    <fill>
      <patternFill patternType="solid">
        <fgColor rgb="FFF2F5F9"/>
        <bgColor rgb="FFF2F5F9"/>
      </patternFill>
    </fill>
    <fill>
      <patternFill patternType="solid">
        <fgColor rgb="FFF2F5F9"/>
        <bgColor rgb="FFF2F5F9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 style="none"/>
    </border>
    <border>
      <left style="none"/>
      <right style="none"/>
      <top style="thin">
        <color rgb="FF9AA5B1"/>
      </top>
      <bottom style="thin">
        <color rgb="FF9AA5B1"/>
      </bottom>
      <diagonal style="none"/>
    </border>
    <border>
      <left style="none"/>
      <right style="thin">
        <color rgb="FF9AA5B1"/>
      </right>
      <top style="thin">
        <color rgb="FF9AA5B1"/>
      </top>
      <bottom style="thin">
        <color rgb="FF9AA5B1"/>
      </bottom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 vertical="center" wrapText="1"/>
    </xf>
    <xf fontId="3" fillId="0" borderId="0" numFmtId="0" xfId="0" applyFont="1"/>
    <xf fontId="0" fillId="0" borderId="0" numFmtId="0" xfId="0"/>
    <xf fontId="4" fillId="3" borderId="1" numFmtId="0" xfId="0" applyFont="1" applyFill="1" applyBorder="1" applyAlignment="1">
      <alignment vertical="center" wrapText="1"/>
    </xf>
    <xf fontId="0" fillId="0" borderId="2" numFmtId="0" xfId="0" applyBorder="1"/>
    <xf fontId="0" fillId="0" borderId="3" numFmtId="0" xfId="0" applyBorder="1"/>
    <xf fontId="5" fillId="4" borderId="1" numFmtId="0" xfId="0" applyFont="1" applyFill="1" applyBorder="1" applyAlignment="1">
      <alignment vertical="top" wrapText="1"/>
    </xf>
    <xf fontId="6" fillId="0" borderId="1" numFmtId="0" xfId="0" applyFont="1" applyBorder="1" applyAlignment="1">
      <alignment vertical="top" wrapText="1"/>
    </xf>
    <xf fontId="6" fillId="5" borderId="1" numFmtId="0" xfId="0" applyFont="1" applyFill="1" applyBorder="1" applyAlignment="1">
      <alignment vertical="top" wrapText="1"/>
    </xf>
    <xf fontId="6" fillId="6" borderId="1" numFmtId="0" xfId="0" applyFont="1" applyFill="1" applyBorder="1" applyAlignment="1">
      <alignment vertical="top" wrapText="1"/>
    </xf>
    <xf fontId="6" fillId="7" borderId="1" numFmtId="0" xfId="0" applyFont="1" applyFill="1" applyBorder="1" applyAlignment="1">
      <alignment vertical="top" wrapText="1"/>
    </xf>
    <xf fontId="7" fillId="0" borderId="0" numFmtId="0" xfId="0" applyFont="1"/>
    <xf fontId="8" fillId="5" borderId="1" numFmtId="0" xfId="0" applyFont="1" applyFill="1" applyBorder="1" applyAlignment="1">
      <alignment vertical="top" wrapText="1"/>
    </xf>
    <xf fontId="8" fillId="6" borderId="1" numFmtId="0" xfId="0" applyFont="1" applyFill="1" applyBorder="1" applyAlignment="1">
      <alignment vertical="top" wrapText="1"/>
    </xf>
    <xf fontId="8" fillId="0" borderId="1" numFmtId="0" xfId="0" applyFont="1" applyBorder="1" applyAlignment="1">
      <alignment vertical="top" wrapText="1"/>
    </xf>
    <xf fontId="8" fillId="7" borderId="1" numFmtId="0" xfId="0" applyFont="1" applyFill="1" applyBorder="1" applyAlignment="1">
      <alignment vertical="top" wrapText="1"/>
    </xf>
    <xf fontId="8" fillId="8" borderId="1" numFmtId="0" xfId="0" applyFont="1" applyFill="1" applyBorder="1" applyAlignment="1">
      <alignment vertical="top" wrapText="1"/>
    </xf>
    <xf fontId="9" fillId="7" borderId="1" numFmtId="0" xfId="0" applyFont="1" applyFill="1" applyBorder="1" applyAlignment="1">
      <alignment vertical="top" wrapText="1"/>
    </xf>
    <xf fontId="8" fillId="7" borderId="1" numFmtId="0" xfId="0" applyFont="1" applyFill="1" applyBorder="1" applyAlignment="1">
      <alignment horizontal="left" vertical="top" wrapText="1"/>
    </xf>
    <xf fontId="8" fillId="7" borderId="1" numFmtId="160" xfId="0" applyNumberFormat="1" applyFont="1" applyFill="1" applyBorder="1" applyAlignment="1">
      <alignment horizontal="left" vertical="top" wrapText="1"/>
    </xf>
    <xf fontId="10" fillId="0" borderId="0" numFmtId="0" xfId="0" applyFont="1"/>
    <xf fontId="4" fillId="3" borderId="0" numFmtId="0" xfId="0" applyFont="1" applyFill="1"/>
    <xf fontId="6" fillId="9" borderId="1" numFmtId="0" xfId="0" applyFont="1" applyFill="1" applyBorder="1" applyAlignment="1">
      <alignment vertical="top" wrapText="1"/>
    </xf>
    <xf fontId="6" fillId="10" borderId="1" numFmtId="0" xfId="0" applyFont="1" applyFill="1" applyBorder="1" applyAlignment="1">
      <alignment vertical="top" wrapText="1"/>
    </xf>
    <xf fontId="6" fillId="10" borderId="1" numFmtId="0" xfId="0" applyFont="1" applyFill="1" applyBorder="1" applyAlignment="1">
      <alignment horizontal="left" vertical="top" wrapText="1"/>
    </xf>
    <xf fontId="11" fillId="0" borderId="0" numFmtId="0" xfId="0" applyFont="1"/>
    <xf fontId="6" fillId="9" borderId="1" numFmtId="160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1" Type="http://schemas.openxmlformats.org/officeDocument/2006/relationships/styles" Target="styles.xml"/><Relationship  Id="rId13" Type="http://schemas.openxmlformats.org/officeDocument/2006/relationships/worksheet" Target="worksheets/sheet12.xml"/><Relationship  Id="rId11" Type="http://schemas.openxmlformats.org/officeDocument/2006/relationships/worksheet" Target="worksheets/sheet10.xml"/><Relationship  Id="rId18" Type="http://schemas.openxmlformats.org/officeDocument/2006/relationships/worksheet" Target="worksheets/sheet17.xml"/><Relationship  Id="rId17" Type="http://schemas.openxmlformats.org/officeDocument/2006/relationships/worksheet" Target="worksheets/sheet16.xml"/><Relationship  Id="rId10" Type="http://schemas.openxmlformats.org/officeDocument/2006/relationships/worksheet" Target="worksheets/sheet9.xml"/><Relationship  Id="rId15" Type="http://schemas.openxmlformats.org/officeDocument/2006/relationships/worksheet" Target="worksheets/sheet14.xml"/><Relationship  Id="rId9" Type="http://schemas.openxmlformats.org/officeDocument/2006/relationships/worksheet" Target="worksheets/sheet8.xml"/><Relationship  Id="rId20" Type="http://schemas.openxmlformats.org/officeDocument/2006/relationships/sharedStrings" Target="sharedStrings.xml"/><Relationship  Id="rId19" Type="http://schemas.openxmlformats.org/officeDocument/2006/relationships/theme" Target="theme/theme1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14" Type="http://schemas.openxmlformats.org/officeDocument/2006/relationships/worksheet" Target="worksheets/sheet13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16" Type="http://schemas.openxmlformats.org/officeDocument/2006/relationships/worksheet" Target="worksheets/sheet15.xml"/><Relationship  Id="rId12" Type="http://schemas.openxmlformats.org/officeDocument/2006/relationships/worksheet" Target="worksheets/sheet11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blon" id="{13748B61-2ED5-FB9C-605E-15E83560519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8" personId="{13748B61-2ED5-FB9C-605E-15E835605193}" id="{00BA002E-0019-4E4E-9314-0070001800A1}" done="0">
    <text xml:space="preserve">Один класс — введите число (например 10). Несколько — через точку с запятой: 0,4; 10; 110. Наибольший определится автоматически.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personId="{13748B61-2ED5-FB9C-605E-15E835605193}" id="{00F40067-0088-47DC-B236-005800AA0075}" done="0">
    <text xml:space="preserve">Наименование должно посимвольно совпадать с графой «Линия / фидер» листа «Опоры». Проще всего скопировать оттуда.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" personId="{13748B61-2ED5-FB9C-605E-15E835605193}" id="{00AF0030-005C-4F81-9C38-004900D00046}" done="0">
    <text xml:space="preserve">Монтажное тяжение нужно для оценки момента на анкерных, угловых, концевых и ответвительных опорах. По умолчанию подставляется допустимое тяжение марки — при наличии проектного значения впишите его поверх.
</text>
  </threadedComment>
  <threadedComment ref="H2" personId="{13748B61-2ED5-FB9C-605E-15E835605193}" id="{00E300AC-0051-4841-9744-00EC0019003F}" done="0">
    <text xml:space="preserve">Высота подвеса должна быть не меньше нормируемого габарита ОК до земли (5,0 м) ПЛЮС расчётная стрела провеса. Значение 5,0 м недопустимо: в середине пролёта норматив не будет обеспечен.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R2" personId="{13748B61-2ED5-FB9C-605E-15E835605193}" id="{00AB0072-00C8-4136-ABA5-009A001D006A}" done="0">
    <text xml:space="preserve">Характер местности КАЖДОЙ опоры: от него зависит нормируемый габарит провода до земли (для 10 кВ — 7,0 м в населённой и 6,0 м в ненаселённой). Пусто — берётся общее значение из Паспорта.
</text>
  </threadedComment>
  <threadedComment ref="S2" personId="{13748B61-2ED5-FB9C-605E-15E835605193}" id="{00990043-0012-4853-BA72-00AB00CA0072}" done="0">
    <text xml:space="preserve">Только для угловых опор. Без угла доля тяжения принимается равной 1,0 (в запас несущей способности).
</text>
  </threadedComment>
  <threadedComment ref="V2" personId="{13748B61-2ED5-FB9C-605E-15E835605193}" id="{00280013-0001-49E8-A946-00D1008C00E2}" done="0">
    <text xml:space="preserve">Габаритный пролёт по типовому проекту. Если фактический пролёт больше — опора попадёт в приложение Е с поверочным расчётом.
</text>
  </threadedComment>
  <threadedComment ref="D2" personId="{13748B61-2ED5-FB9C-605E-15E835605193}" id="{00BB003E-00BA-4A51-B501-000E00FF001A}" done="0">
    <text xml:space="preserve">Сначала класс напряжения — только после этого в графе «Марка опоры» появятся марки этого класса.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personId="{13748B61-2ED5-FB9C-605E-15E835605193}" id="{8304A61C-074D-999E-6DCE-8034D49250FF}" done="0">
    <text xml:space="preserve">Графа обязательна. Строк без привязки к конкретной опоре в протоколе быть не должно: измерение без привязки не имеет доказательственной силы. Одна опора + один вид измерения = одна строка.
</text>
  </threadedComment>
  <threadedComment ref="E2" personId="{13748B61-2ED5-FB9C-605E-15E835605193}" id="{FCAB8979-D221-0F82-6A71-5D24BE3ED9D1}" done="0">
    <text xml:space="preserve">Автозначение — образец. Впишите фактически измеренное значение.
</text>
  </threadedComment>
  <threadedComment ref="J2" personId="{13748B61-2ED5-FB9C-605E-15E835605193}" id="{8C82B9F3-50BC-83C9-F708-FDFD9BA9D138}" done="0">
    <text xml:space="preserve">Г.1 — фактическое состояние конструкции. Г.2 — фактически свободные интервалы под ещё не смонтированный кабель. Подставляется автоматически по виду измерения.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3" personId="{13748B61-2ED5-FB9C-605E-15E835605193}" id="{00E100DB-0022-410A-B8D0-00E3004F00CF}" done="0">
    <text xml:space="preserve">Вручную заполняются только срок и стоимость. Группа и исполнитель определяются автоматически по разделу протокола.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29" personId="{13748B61-2ED5-FB9C-605E-15E835605193}" id="{00E300AE-00A7-4433-B2B5-00EF004E00FA}" done="0">
    <text xml:space="preserve">ОБЯЗАТЕЛЬНО заведите собственные провода ВЛ (СИП, АС и т. п.) и грозотрос. Без них расчёт учтёт только кабели связи и завысит запас несущей способности в разы.
</text>
  </threadedComment>
  <threadedComment ref="H29" personId="{13748B61-2ED5-FB9C-605E-15E835605193}" id="{00E600D8-0082-45B5-85E1-00E60010000B}" done="0">
    <text xml:space="preserve">Монтажное тяжение нужно для оценки момента на анкерных, угловых, концевых и ответвительных опорах. Если тяжение неизвестно — оставьте пусто: количественная оценка по таким опорам выдаваться не будет, вместо неё в приложение Е попадёт поверочный расчёт в составе проектной документации.
</text>
  </threadedComment>
  <threadedComment ref="I29" personId="{13748B61-2ED5-FB9C-605E-15E835605193}" id="{003300E5-0041-4764-8799-00FF009400EF}" done="0">
    <text xml:space="preserve">Класс напряжения, к которому относится позиция. Если объект включает несколько классов, а класс не указан, нагрузка 10 кВ будет учтена и на опорах 0,4 кВ — запас окажется заниженным. Значение «все классы» учитывается на всех опорах.
</text>
  </threadedComment>
  <threadedComment ref="E6" personId="{13748B61-2ED5-FB9C-605E-15E835605193}" id="{00E5007C-002E-41EB-918A-005300C90090}" done="0">
    <text xml:space="preserve">Формула массива. Если Excel показывает ошибку — встаньте в ячейку и нажмите Ctrl+Shift+Enter. Генератор отчёта считает это значение сам и от формулы не зависит.
</text>
  </threadedComment>
</ThreadedComments>
</file>

<file path=xl/worksheets/_rels/sheet2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3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_rels/sheet4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3.vml"/><Relationship  Id="rId2" Type="http://schemas.openxmlformats.org/officeDocument/2006/relationships/comments" Target="../comments3.xml"/><Relationship  Id="rId1" Type="http://schemas.microsoft.com/office/2017/10/relationships/threadedComment" Target="../threadedComments/threadedComment3.xml"/></Relationships>
</file>

<file path=xl/worksheets/_rels/sheet5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4.vml"/><Relationship  Id="rId2" Type="http://schemas.openxmlformats.org/officeDocument/2006/relationships/comments" Target="../comments4.xml"/><Relationship  Id="rId1" Type="http://schemas.microsoft.com/office/2017/10/relationships/threadedComment" Target="../threadedComments/threadedComment4.xml"/></Relationships>
</file>

<file path=xl/worksheets/_rels/sheet6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5.vml"/><Relationship  Id="rId2" Type="http://schemas.openxmlformats.org/officeDocument/2006/relationships/comments" Target="../comments5.xml"/><Relationship  Id="rId1" Type="http://schemas.microsoft.com/office/2017/10/relationships/threadedComment" Target="../threadedComments/threadedComment5.xml"/></Relationships>
</file>

<file path=xl/worksheets/_rels/sheet8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6.vml"/><Relationship  Id="rId2" Type="http://schemas.openxmlformats.org/officeDocument/2006/relationships/comments" Target="../comments6.xml"/><Relationship  Id="rId1" Type="http://schemas.microsoft.com/office/2017/10/relationships/threadedComment" Target="../threadedComments/threadedComment6.xml"/></Relationships>
</file>

<file path=xl/worksheets/_rels/sheet9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7.vml"/><Relationship  Id="rId2" Type="http://schemas.openxmlformats.org/officeDocument/2006/relationships/comments" Target="../comments7.xml"/><Relationship  Id="rId1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3" zoomScale="100" workbookViewId="0">
      <selection activeCell="A1" activeCellId="0" sqref="A1"/>
    </sheetView>
  </sheetViews>
  <sheetFormatPr defaultRowHeight="14.25"/>
  <cols>
    <col customWidth="1" min="1" max="1" width="3"/>
    <col customWidth="1" min="2" max="2" width="44"/>
    <col customWidth="1" min="3" max="3" width="120"/>
  </cols>
  <sheetData>
    <row r="1">
      <c r="B1" s="1" t="s">
        <v>0</v>
      </c>
    </row>
    <row r="2">
      <c r="B2" s="1" t="s">
        <v>1</v>
      </c>
    </row>
    <row r="4">
      <c r="B4" s="1" t="s">
        <v>2</v>
      </c>
    </row>
    <row r="5">
      <c r="B5" s="2" t="s">
        <v>3</v>
      </c>
      <c r="C5" t="s">
        <v>4</v>
      </c>
    </row>
    <row r="6">
      <c r="B6" s="2" t="s">
        <v>5</v>
      </c>
      <c r="C6" t="s">
        <v>6</v>
      </c>
    </row>
    <row r="7">
      <c r="B7" s="2" t="s">
        <v>7</v>
      </c>
      <c r="C7" t="s">
        <v>8</v>
      </c>
    </row>
    <row r="8">
      <c r="B8" s="2" t="s">
        <v>9</v>
      </c>
      <c r="C8" t="s">
        <v>10</v>
      </c>
    </row>
    <row r="10">
      <c r="B10" s="1" t="s">
        <v>11</v>
      </c>
    </row>
    <row r="11">
      <c r="B11" s="2" t="s">
        <v>12</v>
      </c>
      <c r="C11" t="s">
        <v>13</v>
      </c>
    </row>
    <row r="12">
      <c r="B12" s="2" t="s">
        <v>14</v>
      </c>
      <c r="C12" t="s">
        <v>15</v>
      </c>
    </row>
    <row r="13">
      <c r="B13" s="2" t="s">
        <v>16</v>
      </c>
      <c r="C13" t="s">
        <v>17</v>
      </c>
    </row>
    <row r="14">
      <c r="B14" s="2" t="s">
        <v>18</v>
      </c>
      <c r="C14" t="s">
        <v>19</v>
      </c>
    </row>
    <row r="15">
      <c r="B15" s="2" t="s">
        <v>20</v>
      </c>
      <c r="C15" t="s">
        <v>21</v>
      </c>
    </row>
    <row r="16">
      <c r="B16" s="2" t="s">
        <v>22</v>
      </c>
      <c r="C16" t="s">
        <v>23</v>
      </c>
    </row>
    <row r="17">
      <c r="B17" s="2" t="s">
        <v>24</v>
      </c>
      <c r="C17" t="s">
        <v>25</v>
      </c>
    </row>
    <row r="18">
      <c r="B18" s="2" t="s">
        <v>26</v>
      </c>
      <c r="C18" t="s">
        <v>27</v>
      </c>
    </row>
    <row r="20">
      <c r="B20" s="1" t="s">
        <v>28</v>
      </c>
    </row>
    <row r="21">
      <c r="B21" s="2" t="s">
        <v>29</v>
      </c>
      <c r="C21" t="s">
        <v>30</v>
      </c>
    </row>
    <row r="22">
      <c r="B22" s="2" t="s">
        <v>31</v>
      </c>
      <c r="C22" t="s">
        <v>32</v>
      </c>
    </row>
    <row r="23">
      <c r="B23" s="2" t="s">
        <v>33</v>
      </c>
      <c r="C23" t="s">
        <v>34</v>
      </c>
    </row>
    <row r="24">
      <c r="B24" s="2" t="s">
        <v>35</v>
      </c>
      <c r="C24" t="s">
        <v>36</v>
      </c>
    </row>
    <row r="26">
      <c r="B26" s="1" t="s">
        <v>37</v>
      </c>
    </row>
    <row r="27">
      <c r="B27" s="2" t="s">
        <v>38</v>
      </c>
      <c r="C27" t="s">
        <v>39</v>
      </c>
    </row>
    <row r="28">
      <c r="B28" s="2" t="s">
        <v>40</v>
      </c>
      <c r="C28" t="s">
        <v>41</v>
      </c>
    </row>
    <row r="29">
      <c r="B29" s="2" t="s">
        <v>42</v>
      </c>
      <c r="C29" t="s">
        <v>43</v>
      </c>
    </row>
    <row r="30">
      <c r="B30" s="2" t="s">
        <v>44</v>
      </c>
      <c r="C30" t="s">
        <v>45</v>
      </c>
    </row>
    <row r="32">
      <c r="B32" s="1" t="s">
        <v>46</v>
      </c>
    </row>
    <row r="33">
      <c r="B33" s="2" t="s">
        <v>47</v>
      </c>
      <c r="C33" t="s">
        <v>48</v>
      </c>
    </row>
    <row r="34">
      <c r="B34" s="2" t="s">
        <v>49</v>
      </c>
      <c r="C34" t="s">
        <v>50</v>
      </c>
    </row>
    <row r="35">
      <c r="B35" s="2" t="s">
        <v>51</v>
      </c>
      <c r="C35" t="s">
        <v>52</v>
      </c>
    </row>
    <row r="36">
      <c r="B36" s="2" t="s">
        <v>53</v>
      </c>
      <c r="C36" t="s">
        <v>54</v>
      </c>
    </row>
    <row r="38">
      <c r="B38" s="1" t="s">
        <v>55</v>
      </c>
    </row>
    <row r="39">
      <c r="B39" s="2" t="s">
        <v>56</v>
      </c>
      <c r="C39" t="s">
        <v>57</v>
      </c>
    </row>
    <row r="40">
      <c r="B40" s="2" t="s">
        <v>58</v>
      </c>
      <c r="C40" t="s">
        <v>59</v>
      </c>
    </row>
    <row r="41">
      <c r="B41" s="2" t="s">
        <v>60</v>
      </c>
      <c r="C41" t="s">
        <v>61</v>
      </c>
    </row>
    <row r="43">
      <c r="B43" s="1" t="s">
        <v>62</v>
      </c>
    </row>
    <row r="44">
      <c r="B44" s="2" t="s">
        <v>63</v>
      </c>
      <c r="C44" t="s">
        <v>64</v>
      </c>
    </row>
    <row r="45">
      <c r="B45" s="2" t="s">
        <v>65</v>
      </c>
      <c r="C45" t="s">
        <v>66</v>
      </c>
    </row>
    <row r="46">
      <c r="B46" s="2" t="s">
        <v>67</v>
      </c>
      <c r="C46" t="s">
        <v>68</v>
      </c>
    </row>
    <row r="47" ht="27">
      <c r="B47" s="2" t="s">
        <v>69</v>
      </c>
      <c r="C47" t="s">
        <v>70</v>
      </c>
    </row>
    <row r="48">
      <c r="B48" s="2" t="s">
        <v>71</v>
      </c>
      <c r="C48" t="s">
        <v>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26"/>
    <col customWidth="1" min="2" max="2" width="58"/>
    <col customWidth="1" min="3" max="3" width="60"/>
  </cols>
  <sheetData>
    <row r="1" ht="15">
      <c r="A1" s="3" t="s">
        <v>73</v>
      </c>
      <c r="B1" s="4"/>
      <c r="C1" s="4"/>
    </row>
    <row r="3" ht="20.100000000000001" customHeight="1">
      <c r="A3" s="2" t="s">
        <v>74</v>
      </c>
      <c r="B3" s="2" t="s">
        <v>75</v>
      </c>
      <c r="C3" s="2" t="s">
        <v>76</v>
      </c>
    </row>
    <row r="4" ht="18" customHeight="1">
      <c r="A4" s="5" t="s">
        <v>77</v>
      </c>
      <c r="B4" s="6"/>
      <c r="C4" s="7"/>
    </row>
    <row r="5" ht="26.100000000000001" customHeight="1">
      <c r="A5" s="8" t="s">
        <v>78</v>
      </c>
      <c r="B5" s="9" t="s">
        <v>79</v>
      </c>
      <c r="C5" s="10" t="s">
        <v>80</v>
      </c>
    </row>
    <row r="6" ht="26.100000000000001" customHeight="1">
      <c r="A6" s="8" t="s">
        <v>81</v>
      </c>
      <c r="B6" s="9" t="s">
        <v>82</v>
      </c>
      <c r="C6" s="10" t="s">
        <v>83</v>
      </c>
    </row>
    <row r="7" ht="26.100000000000001" customHeight="1">
      <c r="A7" s="8" t="s">
        <v>84</v>
      </c>
      <c r="B7" s="9" t="s">
        <v>85</v>
      </c>
      <c r="C7" s="10" t="s">
        <v>86</v>
      </c>
    </row>
    <row r="8" ht="26.100000000000001" customHeight="1">
      <c r="A8" s="8" t="s">
        <v>87</v>
      </c>
      <c r="B8" s="9" t="s">
        <v>88</v>
      </c>
      <c r="C8" s="10" t="s">
        <v>89</v>
      </c>
    </row>
    <row r="9" ht="33.950000000000003" customHeight="1">
      <c r="A9" s="8" t="s">
        <v>90</v>
      </c>
      <c r="B9" s="9" t="s">
        <v>91</v>
      </c>
      <c r="C9" s="10" t="s">
        <v>92</v>
      </c>
    </row>
    <row r="10" ht="26.100000000000001" customHeight="1">
      <c r="A10" s="8" t="s">
        <v>93</v>
      </c>
      <c r="B10" s="9" t="s">
        <v>94</v>
      </c>
      <c r="C10" s="10" t="s">
        <v>95</v>
      </c>
    </row>
    <row r="11" ht="26.100000000000001" customHeight="1">
      <c r="A11" s="8" t="s">
        <v>96</v>
      </c>
      <c r="B11" s="9" t="s">
        <v>97</v>
      </c>
      <c r="C11" s="10" t="s">
        <v>98</v>
      </c>
    </row>
    <row r="12" ht="26.100000000000001" customHeight="1">
      <c r="A12" s="8" t="s">
        <v>99</v>
      </c>
      <c r="B12" s="9" t="s">
        <v>100</v>
      </c>
      <c r="C12" s="10" t="s">
        <v>101</v>
      </c>
    </row>
    <row r="13" ht="26.100000000000001" customHeight="1">
      <c r="A13" s="8" t="s">
        <v>102</v>
      </c>
      <c r="B13" s="9" t="s">
        <v>103</v>
      </c>
      <c r="C13" s="10" t="s">
        <v>104</v>
      </c>
    </row>
    <row r="14" ht="26.100000000000001" customHeight="1">
      <c r="A14" s="8" t="s">
        <v>105</v>
      </c>
      <c r="B14" s="9" t="s">
        <v>106</v>
      </c>
      <c r="C14" s="10" t="s">
        <v>107</v>
      </c>
    </row>
    <row r="15" ht="18" customHeight="1">
      <c r="A15" s="5" t="s">
        <v>108</v>
      </c>
      <c r="B15" s="6"/>
      <c r="C15" s="7"/>
    </row>
    <row r="16" ht="26.100000000000001" customHeight="1">
      <c r="A16" s="8" t="s">
        <v>109</v>
      </c>
      <c r="B16" s="9" t="s">
        <v>110</v>
      </c>
      <c r="C16" s="10" t="s">
        <v>111</v>
      </c>
    </row>
    <row r="17" ht="26.100000000000001" customHeight="1">
      <c r="A17" s="8" t="s">
        <v>112</v>
      </c>
      <c r="B17" s="9" t="s">
        <v>113</v>
      </c>
      <c r="C17" s="10" t="s">
        <v>114</v>
      </c>
    </row>
    <row r="18" ht="26.100000000000001" customHeight="1">
      <c r="A18" s="8" t="s">
        <v>115</v>
      </c>
      <c r="B18" s="9" t="s">
        <v>116</v>
      </c>
      <c r="C18" s="10" t="s">
        <v>117</v>
      </c>
    </row>
    <row r="19" ht="26.100000000000001" customHeight="1">
      <c r="A19" s="8" t="s">
        <v>118</v>
      </c>
      <c r="B19" s="9" t="s">
        <v>119</v>
      </c>
      <c r="C19" s="10" t="s">
        <v>120</v>
      </c>
    </row>
    <row r="20" ht="26.100000000000001" customHeight="1">
      <c r="A20" s="8" t="s">
        <v>121</v>
      </c>
      <c r="B20" s="9" t="s">
        <v>122</v>
      </c>
      <c r="C20" s="10" t="s">
        <v>123</v>
      </c>
    </row>
    <row r="21" ht="26.100000000000001" customHeight="1">
      <c r="A21" s="8" t="s">
        <v>124</v>
      </c>
      <c r="B21" s="9" t="s">
        <v>125</v>
      </c>
      <c r="C21" s="10" t="s">
        <v>126</v>
      </c>
    </row>
    <row r="22" ht="26.100000000000001" customHeight="1">
      <c r="A22" s="8" t="s">
        <v>127</v>
      </c>
      <c r="B22" s="9" t="s">
        <v>128</v>
      </c>
      <c r="C22" s="10" t="s">
        <v>129</v>
      </c>
    </row>
    <row r="23" ht="26.100000000000001" customHeight="1">
      <c r="A23" s="8" t="s">
        <v>130</v>
      </c>
      <c r="B23" s="9" t="s">
        <v>131</v>
      </c>
      <c r="C23" s="10" t="s">
        <v>132</v>
      </c>
    </row>
    <row r="24" ht="26.100000000000001" customHeight="1">
      <c r="A24" s="8" t="s">
        <v>133</v>
      </c>
      <c r="B24" s="9" t="s">
        <v>134</v>
      </c>
      <c r="C24" s="10" t="s">
        <v>135</v>
      </c>
    </row>
    <row r="25" ht="18" customHeight="1">
      <c r="A25" s="5" t="s">
        <v>136</v>
      </c>
      <c r="B25" s="6"/>
      <c r="C25" s="7"/>
    </row>
    <row r="26" ht="26.100000000000001" customHeight="1">
      <c r="A26" s="8" t="s">
        <v>137</v>
      </c>
      <c r="B26" s="9" t="s">
        <v>138</v>
      </c>
      <c r="C26" s="10" t="s">
        <v>139</v>
      </c>
    </row>
    <row r="27" ht="26.100000000000001" customHeight="1">
      <c r="A27" s="8" t="s">
        <v>140</v>
      </c>
      <c r="B27" s="9" t="s">
        <v>141</v>
      </c>
      <c r="C27" s="10" t="s">
        <v>142</v>
      </c>
    </row>
    <row r="28" ht="33.950000000000003" customHeight="1">
      <c r="A28" s="8" t="s">
        <v>143</v>
      </c>
      <c r="B28" s="9" t="s">
        <v>144</v>
      </c>
      <c r="C28" s="10" t="s">
        <v>145</v>
      </c>
    </row>
    <row r="29" ht="26.100000000000001" customHeight="1">
      <c r="A29" s="8" t="s">
        <v>146</v>
      </c>
      <c r="B29" s="9" t="s">
        <v>147</v>
      </c>
      <c r="C29" s="11" t="str">
        <f ca="1">IFERROR(LOOKUP(9E+99,--TRIM(MID(SUBSTITUTE(C28,";",REPT(" ",50)),(ROW(INDIRECT("1:"&amp;(LEN(C28)-LEN(SUBSTITUTE(C28,";",""))+1)))-1)*50+1,50))),C28)</f>
        <v>10</v>
      </c>
    </row>
    <row r="30" ht="26.100000000000001" customHeight="1">
      <c r="A30" s="8" t="s">
        <v>148</v>
      </c>
      <c r="B30" s="9" t="s">
        <v>149</v>
      </c>
      <c r="C30" s="10" t="s">
        <v>150</v>
      </c>
    </row>
    <row r="31" ht="26.100000000000001" customHeight="1">
      <c r="A31" s="8" t="s">
        <v>151</v>
      </c>
      <c r="B31" s="9" t="s">
        <v>152</v>
      </c>
      <c r="C31" s="10" t="s">
        <v>153</v>
      </c>
    </row>
    <row r="32" ht="26.100000000000001" customHeight="1">
      <c r="A32" s="8" t="s">
        <v>154</v>
      </c>
      <c r="B32" s="9" t="s">
        <v>155</v>
      </c>
      <c r="C32" s="10" t="s">
        <v>156</v>
      </c>
    </row>
    <row r="33" ht="26.100000000000001" customHeight="1">
      <c r="A33" s="8" t="s">
        <v>157</v>
      </c>
      <c r="B33" s="9" t="s">
        <v>158</v>
      </c>
      <c r="C33" s="10" t="s">
        <v>159</v>
      </c>
    </row>
    <row r="34" ht="26.100000000000001" customHeight="1">
      <c r="A34" s="8" t="s">
        <v>160</v>
      </c>
      <c r="B34" s="9" t="s">
        <v>161</v>
      </c>
      <c r="C34" s="11">
        <f>IFERROR(VLOOKUP(TEXT(C29,"General"),Спр_ВЛ!$A$3:$G$11,IF(ISNUMBER(SEARCH("ненасел",C31)),3,2),0),"")</f>
        <v>7</v>
      </c>
    </row>
    <row r="35" ht="26.100000000000001" customHeight="1">
      <c r="A35" s="8" t="s">
        <v>162</v>
      </c>
      <c r="B35" s="9" t="s">
        <v>163</v>
      </c>
      <c r="C35" s="11">
        <f>IFERROR(VLOOKUP(TEXT(C29,"General"),Спр_ВЛ!$A$3:$G$11,4,0),5)</f>
        <v>5</v>
      </c>
    </row>
    <row r="36" ht="26.100000000000001" customHeight="1">
      <c r="A36" s="8" t="s">
        <v>164</v>
      </c>
      <c r="B36" s="9" t="s">
        <v>165</v>
      </c>
      <c r="C36" s="11">
        <f>IFERROR(VLOOKUP(TEXT(C29,"General"),Спр_ВЛ!$A$3:$G$11,5,0),"")</f>
        <v>0.59999999999999998</v>
      </c>
    </row>
    <row r="37" ht="26.100000000000001" customHeight="1">
      <c r="A37" s="8" t="s">
        <v>166</v>
      </c>
      <c r="B37" s="9" t="s">
        <v>167</v>
      </c>
      <c r="C37" s="11">
        <f>IFERROR(VLOOKUP(TEXT(C29,"General"),Спр_ВЛ!$A$3:$G$11,6,0),"")</f>
        <v>10</v>
      </c>
    </row>
    <row r="38" ht="26.100000000000001" customHeight="1">
      <c r="A38" s="8" t="s">
        <v>168</v>
      </c>
      <c r="B38" s="9" t="s">
        <v>169</v>
      </c>
      <c r="C38" s="10" t="s">
        <v>170</v>
      </c>
    </row>
    <row r="39" ht="26.100000000000001" customHeight="1">
      <c r="A39" s="8" t="s">
        <v>171</v>
      </c>
      <c r="B39" s="9" t="s">
        <v>172</v>
      </c>
      <c r="C39" s="10" t="s">
        <v>173</v>
      </c>
    </row>
    <row r="40" ht="26.100000000000001" customHeight="1">
      <c r="A40" s="8" t="s">
        <v>174</v>
      </c>
      <c r="B40" s="9" t="s">
        <v>175</v>
      </c>
      <c r="C40" s="10" t="s">
        <v>176</v>
      </c>
    </row>
    <row r="41" ht="26.100000000000001" customHeight="1">
      <c r="A41" s="8" t="s">
        <v>177</v>
      </c>
      <c r="B41" s="9" t="s">
        <v>178</v>
      </c>
      <c r="C41" s="10" t="s">
        <v>179</v>
      </c>
    </row>
    <row r="42" ht="30" customHeight="1">
      <c r="A42" s="5" t="s">
        <v>180</v>
      </c>
      <c r="B42" s="6"/>
      <c r="C42" s="7"/>
    </row>
    <row r="43" ht="26.100000000000001" customHeight="1">
      <c r="A43" s="8" t="s">
        <v>181</v>
      </c>
      <c r="B43" s="9" t="s">
        <v>182</v>
      </c>
      <c r="C43" s="10"/>
    </row>
    <row r="44" ht="26.100000000000001" customHeight="1">
      <c r="A44" s="8" t="s">
        <v>183</v>
      </c>
      <c r="B44" s="9" t="s">
        <v>184</v>
      </c>
      <c r="C44" s="10"/>
    </row>
    <row r="45" ht="26.100000000000001" customHeight="1">
      <c r="A45" s="8" t="s">
        <v>185</v>
      </c>
      <c r="B45" s="9" t="s">
        <v>186</v>
      </c>
      <c r="C45" s="10"/>
    </row>
    <row r="46" ht="26.100000000000001" customHeight="1">
      <c r="A46" s="8" t="s">
        <v>187</v>
      </c>
      <c r="B46" s="9" t="s">
        <v>188</v>
      </c>
      <c r="C46" s="10"/>
    </row>
    <row r="47" ht="26.100000000000001" customHeight="1">
      <c r="A47" s="8" t="s">
        <v>189</v>
      </c>
      <c r="B47" s="9" t="s">
        <v>190</v>
      </c>
      <c r="C47" s="10"/>
    </row>
    <row r="48" ht="26.100000000000001" customHeight="1">
      <c r="A48" s="8" t="s">
        <v>191</v>
      </c>
      <c r="B48" s="9" t="s">
        <v>192</v>
      </c>
      <c r="C48" s="10"/>
    </row>
    <row r="49" ht="33.950000000000003" customHeight="1">
      <c r="A49" s="8" t="s">
        <v>193</v>
      </c>
      <c r="B49" s="9" t="s">
        <v>194</v>
      </c>
      <c r="C49" s="10" t="s">
        <v>195</v>
      </c>
    </row>
    <row r="50" ht="26.100000000000001" customHeight="1">
      <c r="A50" s="8" t="s">
        <v>196</v>
      </c>
      <c r="B50" s="9" t="s">
        <v>197</v>
      </c>
      <c r="C50" s="10" t="s">
        <v>198</v>
      </c>
    </row>
    <row r="51" ht="18" customHeight="1">
      <c r="A51" s="5" t="s">
        <v>199</v>
      </c>
      <c r="B51" s="6"/>
      <c r="C51" s="7"/>
    </row>
    <row r="52" ht="26.100000000000001" customHeight="1">
      <c r="A52" s="8" t="s">
        <v>200</v>
      </c>
      <c r="B52" s="9" t="s">
        <v>201</v>
      </c>
      <c r="C52" s="10" t="s">
        <v>202</v>
      </c>
    </row>
    <row r="53" ht="26.100000000000001" customHeight="1">
      <c r="A53" s="8" t="s">
        <v>203</v>
      </c>
      <c r="B53" s="9" t="s">
        <v>204</v>
      </c>
      <c r="C53" s="10" t="s">
        <v>205</v>
      </c>
    </row>
    <row r="54" ht="26.100000000000001" customHeight="1">
      <c r="A54" s="8" t="s">
        <v>206</v>
      </c>
      <c r="B54" s="9" t="s">
        <v>207</v>
      </c>
      <c r="C54" s="10" t="s">
        <v>208</v>
      </c>
    </row>
    <row r="55" ht="26.100000000000001" customHeight="1">
      <c r="A55" s="8" t="s">
        <v>209</v>
      </c>
      <c r="B55" s="9" t="s">
        <v>210</v>
      </c>
      <c r="C55" s="10" t="s">
        <v>205</v>
      </c>
    </row>
    <row r="56" ht="26.100000000000001" customHeight="1">
      <c r="A56" s="8" t="s">
        <v>211</v>
      </c>
      <c r="B56" s="9" t="s">
        <v>212</v>
      </c>
      <c r="C56" s="10" t="s">
        <v>213</v>
      </c>
    </row>
    <row r="57" ht="26.100000000000001" customHeight="1">
      <c r="A57" s="8" t="s">
        <v>214</v>
      </c>
      <c r="B57" s="9" t="s">
        <v>215</v>
      </c>
      <c r="C57" s="10" t="s">
        <v>216</v>
      </c>
    </row>
    <row r="58" ht="26.100000000000001" customHeight="1">
      <c r="A58" s="8" t="s">
        <v>217</v>
      </c>
      <c r="B58" s="9" t="s">
        <v>218</v>
      </c>
      <c r="C58" s="10" t="s">
        <v>219</v>
      </c>
    </row>
    <row r="59" ht="26.100000000000001" customHeight="1">
      <c r="A59" s="8" t="s">
        <v>220</v>
      </c>
      <c r="B59" s="9" t="s">
        <v>221</v>
      </c>
      <c r="C59" s="10" t="s">
        <v>222</v>
      </c>
    </row>
    <row r="60" ht="26.100000000000001" customHeight="1">
      <c r="A60" s="8" t="s">
        <v>223</v>
      </c>
      <c r="B60" s="9" t="s">
        <v>224</v>
      </c>
      <c r="C60" s="10" t="s">
        <v>225</v>
      </c>
    </row>
    <row r="61" ht="26.100000000000001" customHeight="1">
      <c r="A61" s="8" t="s">
        <v>226</v>
      </c>
      <c r="B61" s="9" t="s">
        <v>227</v>
      </c>
      <c r="C61" s="10" t="s">
        <v>228</v>
      </c>
    </row>
    <row r="62" ht="26.100000000000001" customHeight="1">
      <c r="A62" s="8" t="s">
        <v>229</v>
      </c>
      <c r="B62" s="9" t="s">
        <v>230</v>
      </c>
      <c r="C62" s="10" t="s">
        <v>231</v>
      </c>
    </row>
    <row r="63" ht="26.100000000000001" customHeight="1">
      <c r="A63" s="8" t="s">
        <v>232</v>
      </c>
      <c r="B63" s="9" t="s">
        <v>233</v>
      </c>
      <c r="C63" s="10" t="s">
        <v>234</v>
      </c>
    </row>
    <row r="64" ht="26.100000000000001" customHeight="1">
      <c r="A64" s="8" t="s">
        <v>235</v>
      </c>
      <c r="B64" s="9" t="s">
        <v>236</v>
      </c>
      <c r="C64" s="10" t="s">
        <v>237</v>
      </c>
    </row>
    <row r="65" ht="26.100000000000001" customHeight="1">
      <c r="A65" s="8" t="s">
        <v>238</v>
      </c>
      <c r="B65" s="9" t="s">
        <v>239</v>
      </c>
      <c r="C65" s="10" t="s">
        <v>240</v>
      </c>
    </row>
    <row r="66" ht="26.100000000000001" customHeight="1">
      <c r="A66" s="8" t="s">
        <v>241</v>
      </c>
      <c r="B66" s="9" t="s">
        <v>242</v>
      </c>
      <c r="C66" s="10"/>
    </row>
    <row r="67" ht="26.100000000000001" customHeight="1">
      <c r="A67" s="8" t="s">
        <v>243</v>
      </c>
      <c r="B67" s="9" t="s">
        <v>244</v>
      </c>
      <c r="C67" s="10" t="s">
        <v>245</v>
      </c>
    </row>
    <row r="68" ht="26.100000000000001" customHeight="1">
      <c r="A68" s="8" t="s">
        <v>246</v>
      </c>
      <c r="B68" s="9" t="s">
        <v>247</v>
      </c>
      <c r="C68" s="10" t="s">
        <v>248</v>
      </c>
    </row>
    <row r="69" ht="26.100000000000001" customHeight="1">
      <c r="A69" s="8" t="s">
        <v>249</v>
      </c>
      <c r="B69" s="9" t="s">
        <v>250</v>
      </c>
      <c r="C69" s="10" t="s">
        <v>132</v>
      </c>
    </row>
    <row r="70" ht="18" customHeight="1">
      <c r="A70" s="5" t="s">
        <v>251</v>
      </c>
      <c r="B70" s="6"/>
      <c r="C70" s="7"/>
    </row>
    <row r="71" ht="26.100000000000001" customHeight="1">
      <c r="A71" s="8" t="s">
        <v>252</v>
      </c>
      <c r="B71" s="9" t="s">
        <v>253</v>
      </c>
      <c r="C71" s="10" t="s">
        <v>254</v>
      </c>
    </row>
    <row r="72" ht="26.100000000000001" customHeight="1">
      <c r="A72" s="8" t="s">
        <v>255</v>
      </c>
      <c r="B72" s="9" t="s">
        <v>256</v>
      </c>
      <c r="C72" s="10" t="s">
        <v>257</v>
      </c>
    </row>
    <row r="73" ht="26.100000000000001" customHeight="1">
      <c r="A73" s="8" t="s">
        <v>258</v>
      </c>
      <c r="B73" s="9" t="s">
        <v>259</v>
      </c>
      <c r="C73" s="10" t="s">
        <v>260</v>
      </c>
    </row>
    <row r="74" ht="26.100000000000001" customHeight="1">
      <c r="A74" s="8" t="s">
        <v>261</v>
      </c>
      <c r="B74" s="9" t="s">
        <v>262</v>
      </c>
      <c r="C74" s="10" t="s">
        <v>263</v>
      </c>
    </row>
    <row r="75" ht="18" customHeight="1">
      <c r="A75" s="5" t="s">
        <v>264</v>
      </c>
      <c r="B75" s="6"/>
      <c r="C75" s="7"/>
    </row>
    <row r="76" ht="26.100000000000001" customHeight="1">
      <c r="A76" s="8" t="s">
        <v>265</v>
      </c>
      <c r="B76" s="9" t="s">
        <v>266</v>
      </c>
      <c r="C76" s="10" t="s">
        <v>267</v>
      </c>
    </row>
    <row r="77" ht="26.100000000000001" customHeight="1">
      <c r="A77" s="8" t="s">
        <v>268</v>
      </c>
      <c r="B77" s="9" t="s">
        <v>269</v>
      </c>
      <c r="C77" s="10" t="s">
        <v>270</v>
      </c>
    </row>
    <row r="78" ht="33.950000000000003" customHeight="1">
      <c r="A78" s="8" t="s">
        <v>271</v>
      </c>
      <c r="B78" s="9" t="s">
        <v>272</v>
      </c>
      <c r="C78" s="10" t="s">
        <v>273</v>
      </c>
    </row>
    <row r="79" ht="26.100000000000001" customHeight="1">
      <c r="A79" s="8" t="s">
        <v>274</v>
      </c>
      <c r="B79" s="9" t="s">
        <v>275</v>
      </c>
      <c r="C79" s="12" t="s">
        <v>276</v>
      </c>
    </row>
    <row r="80" ht="26.100000000000001" customHeight="1">
      <c r="A80" s="8" t="s">
        <v>277</v>
      </c>
      <c r="B80" s="9" t="s">
        <v>278</v>
      </c>
      <c r="C80" s="12" t="s">
        <v>279</v>
      </c>
    </row>
    <row r="81" ht="26.100000000000001" customHeight="1">
      <c r="A81" s="8" t="s">
        <v>280</v>
      </c>
      <c r="B81" s="9" t="s">
        <v>281</v>
      </c>
      <c r="C81" s="10" t="s">
        <v>282</v>
      </c>
    </row>
    <row r="82" ht="26.100000000000001" customHeight="1">
      <c r="A82" s="8" t="s">
        <v>283</v>
      </c>
      <c r="B82" s="9" t="s">
        <v>284</v>
      </c>
      <c r="C82" s="10" t="s">
        <v>132</v>
      </c>
    </row>
    <row r="83" ht="33.950000000000003" customHeight="1">
      <c r="A83" s="8" t="s">
        <v>285</v>
      </c>
      <c r="B83" s="9" t="s">
        <v>286</v>
      </c>
      <c r="C83" s="10"/>
    </row>
    <row r="84" ht="26.100000000000001" customHeight="1">
      <c r="A84" s="8" t="s">
        <v>287</v>
      </c>
      <c r="B84" s="9" t="s">
        <v>288</v>
      </c>
      <c r="C84" s="10" t="s">
        <v>289</v>
      </c>
    </row>
    <row r="85" ht="26.100000000000001" customHeight="1">
      <c r="A85" s="8" t="s">
        <v>290</v>
      </c>
      <c r="B85" s="9" t="s">
        <v>291</v>
      </c>
      <c r="C85" s="10" t="s">
        <v>132</v>
      </c>
    </row>
    <row r="86" ht="26.100000000000001" customHeight="1">
      <c r="A86" s="8" t="s">
        <v>292</v>
      </c>
      <c r="B86" s="9" t="s">
        <v>293</v>
      </c>
      <c r="C86" s="10"/>
    </row>
  </sheetData>
  <mergeCells count="8">
    <mergeCell ref="A1:C1"/>
    <mergeCell ref="A4:C4"/>
    <mergeCell ref="A15:C15"/>
    <mergeCell ref="A25:C25"/>
    <mergeCell ref="A42:C42"/>
    <mergeCell ref="A51:C51"/>
    <mergeCell ref="A70:C70"/>
    <mergeCell ref="A75:C75"/>
  </mergeCells>
  <dataValidations count="2" disablePrompts="0">
    <dataValidation sqref="C31" type="list" allowBlank="1" errorStyle="stop" imeMode="noControl" operator="between" showDropDown="0" showErrorMessage="0" showInputMessage="0">
      <formula1>Спр_Списки!$B$2:$B$4</formula1>
    </dataValidation>
    <dataValidation sqref="C63" type="list" allowBlank="1" errorStyle="stop" imeMode="noControl" operator="between" showDropDown="0" showErrorMessage="0" showInputMessage="0">
      <formula1>Спр_Списки!$H$2:$H$5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6"/>
    <col customWidth="1" min="2" max="2" width="26"/>
    <col customWidth="1" min="3" max="3" width="34"/>
    <col customWidth="1" min="4" max="4" width="22"/>
    <col customWidth="1" min="5" max="5" width="12"/>
    <col customWidth="1" min="6" max="6" width="16"/>
    <col customWidth="1" min="7" max="8" width="38"/>
    <col customWidth="1" min="9" max="9" width="32"/>
    <col customWidth="1" min="10" max="10" width="18"/>
    <col customWidth="1" min="11" max="11" width="16"/>
  </cols>
  <sheetData>
    <row r="1">
      <c r="A1" s="1" t="s">
        <v>294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45.950000000000003" customHeight="1">
      <c r="A2" s="13" t="s">
        <v>295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50.100000000000001" customHeight="1">
      <c r="A3" s="2" t="s">
        <v>296</v>
      </c>
      <c r="B3" s="2" t="s">
        <v>297</v>
      </c>
      <c r="C3" s="2" t="s">
        <v>298</v>
      </c>
      <c r="D3" s="2" t="s">
        <v>299</v>
      </c>
      <c r="E3" s="2" t="s">
        <v>300</v>
      </c>
      <c r="F3" s="2" t="s">
        <v>301</v>
      </c>
      <c r="G3" s="2" t="s">
        <v>302</v>
      </c>
      <c r="H3" s="2" t="s">
        <v>303</v>
      </c>
      <c r="I3" s="2" t="s">
        <v>304</v>
      </c>
      <c r="J3" s="2" t="s">
        <v>305</v>
      </c>
      <c r="K3" s="2" t="s">
        <v>306</v>
      </c>
    </row>
    <row r="4" ht="27">
      <c r="A4" s="14">
        <v>1</v>
      </c>
      <c r="B4" s="14" t="s">
        <v>142</v>
      </c>
      <c r="C4" s="14" t="s">
        <v>307</v>
      </c>
      <c r="D4" s="14" t="s">
        <v>308</v>
      </c>
      <c r="E4" s="14">
        <v>1986</v>
      </c>
      <c r="F4" s="14" t="s">
        <v>145</v>
      </c>
      <c r="G4" s="14" t="s">
        <v>159</v>
      </c>
      <c r="H4" s="14" t="s">
        <v>309</v>
      </c>
      <c r="I4" s="14" t="s">
        <v>310</v>
      </c>
      <c r="J4" s="15">
        <f>IF($B4="","",COUNTIF(Опоры!$B:$B,$B4))</f>
        <v>3</v>
      </c>
      <c r="K4" s="14" t="s">
        <v>311</v>
      </c>
    </row>
    <row r="5">
      <c r="A5" s="10"/>
      <c r="B5" s="10"/>
      <c r="C5" s="10"/>
      <c r="D5" s="10"/>
      <c r="E5" s="10"/>
      <c r="F5" s="10"/>
      <c r="G5" s="10"/>
      <c r="H5" s="10"/>
      <c r="I5" s="10"/>
      <c r="J5" s="11" t="str">
        <f>IF($B5="","",COUNTIF(Опоры!$B:$B,$B5))</f>
        <v/>
      </c>
      <c r="K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1" t="str">
        <f>IF($B6="","",COUNTIF(Опоры!$B:$B,$B6))</f>
        <v/>
      </c>
      <c r="K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1" t="str">
        <f>IF($B7="","",COUNTIF(Опоры!$B:$B,$B7))</f>
        <v/>
      </c>
      <c r="K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1" t="str">
        <f>IF($B8="","",COUNTIF(Опоры!$B:$B,$B8))</f>
        <v/>
      </c>
      <c r="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1" t="str">
        <f>IF($B9="","",COUNTIF(Опоры!$B:$B,$B9))</f>
        <v/>
      </c>
      <c r="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1" t="str">
        <f>IF($B10="","",COUNTIF(Опоры!$B:$B,$B10))</f>
        <v/>
      </c>
      <c r="K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1" t="str">
        <f>IF($B11="","",COUNTIF(Опоры!$B:$B,$B11))</f>
        <v/>
      </c>
      <c r="K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1" t="str">
        <f>IF($B12="","",COUNTIF(Опоры!$B:$B,$B12))</f>
        <v/>
      </c>
      <c r="K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1" t="str">
        <f>IF($B13="","",COUNTIF(Опоры!$B:$B,$B13))</f>
        <v/>
      </c>
      <c r="K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1" t="str">
        <f>IF($B14="","",COUNTIF(Опоры!$B:$B,$B14))</f>
        <v/>
      </c>
      <c r="K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1" t="str">
        <f>IF($B15="","",COUNTIF(Опоры!$B:$B,$B15))</f>
        <v/>
      </c>
      <c r="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1" t="str">
        <f>IF($B16="","",COUNTIF(Опоры!$B:$B,$B16))</f>
        <v/>
      </c>
      <c r="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1" t="str">
        <f>IF($B17="","",COUNTIF(Опоры!$B:$B,$B17))</f>
        <v/>
      </c>
      <c r="K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1" t="str">
        <f>IF($B18="","",COUNTIF(Опоры!$B:$B,$B18))</f>
        <v/>
      </c>
      <c r="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1" t="str">
        <f>IF($B19="","",COUNTIF(Опоры!$B:$B,$B19))</f>
        <v/>
      </c>
      <c r="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1" t="str">
        <f>IF($B20="","",COUNTIF(Опоры!$B:$B,$B20))</f>
        <v/>
      </c>
      <c r="K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1" t="str">
        <f>IF($B21="","",COUNTIF(Опоры!$B:$B,$B21))</f>
        <v/>
      </c>
      <c r="K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1" t="str">
        <f>IF($B22="","",COUNTIF(Опоры!$B:$B,$B22))</f>
        <v/>
      </c>
      <c r="K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1" t="str">
        <f>IF($B23="","",COUNTIF(Опоры!$B:$B,$B23))</f>
        <v/>
      </c>
      <c r="K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1" t="str">
        <f>IF($B24="","",COUNTIF(Опоры!$B:$B,$B24))</f>
        <v/>
      </c>
      <c r="K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1" t="str">
        <f>IF($B25="","",COUNTIF(Опоры!$B:$B,$B25))</f>
        <v/>
      </c>
      <c r="K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1" t="str">
        <f>IF($B26="","",COUNTIF(Опоры!$B:$B,$B26))</f>
        <v/>
      </c>
      <c r="K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1" t="str">
        <f>IF($B27="","",COUNTIF(Опоры!$B:$B,$B27))</f>
        <v/>
      </c>
      <c r="K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1" t="str">
        <f>IF($B28="","",COUNTIF(Опоры!$B:$B,$B28))</f>
        <v/>
      </c>
      <c r="K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1" t="str">
        <f>IF($B29="","",COUNTIF(Опоры!$B:$B,$B29))</f>
        <v/>
      </c>
      <c r="K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1" t="str">
        <f>IF($B30="","",COUNTIF(Опоры!$B:$B,$B30))</f>
        <v/>
      </c>
      <c r="K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1" t="str">
        <f>IF($B31="","",COUNTIF(Опоры!$B:$B,$B31))</f>
        <v/>
      </c>
      <c r="K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1" t="str">
        <f>IF($B32="","",COUNTIF(Опоры!$B:$B,$B32))</f>
        <v/>
      </c>
      <c r="K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1" t="str">
        <f>IF($B33="","",COUNTIF(Опоры!$B:$B,$B33))</f>
        <v/>
      </c>
      <c r="K33" s="10"/>
    </row>
  </sheetData>
  <mergeCells count="2">
    <mergeCell ref="A1:K1"/>
    <mergeCell ref="A2:K2"/>
  </mergeCells>
  <dataValidations count="1" disablePrompts="0">
    <dataValidation sqref="F4:F33" type="list" allowBlank="1" errorStyle="stop" imeMode="noControl" operator="between" showDropDown="0" showErrorMessage="0" showInputMessage="0">
      <formula1>Спр_Списки!$A$2:$A$11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6"/>
    <col customWidth="1" min="2" max="2" width="26"/>
    <col customWidth="1" min="3" max="3" width="32"/>
    <col customWidth="1" min="4" max="6" width="15"/>
    <col customWidth="1" min="7" max="7" width="18"/>
    <col customWidth="1" min="8" max="8" width="13"/>
    <col customWidth="1" min="9" max="9" width="28"/>
    <col customWidth="1" min="10" max="10" width="24"/>
    <col customWidth="1" min="11" max="11" width="20"/>
    <col customWidth="1" min="12" max="12" width="18"/>
    <col customWidth="1" min="13" max="13" width="16"/>
  </cols>
  <sheetData>
    <row r="1" ht="44.100000000000001" customHeight="1">
      <c r="A1" s="2" t="s">
        <v>296</v>
      </c>
      <c r="B1" s="2" t="s">
        <v>312</v>
      </c>
      <c r="C1" s="2" t="s">
        <v>313</v>
      </c>
      <c r="D1" s="2" t="s">
        <v>314</v>
      </c>
      <c r="E1" s="2" t="s">
        <v>315</v>
      </c>
      <c r="F1" s="2" t="s">
        <v>316</v>
      </c>
      <c r="G1" s="2" t="s">
        <v>317</v>
      </c>
      <c r="H1" s="2" t="s">
        <v>318</v>
      </c>
      <c r="I1" s="2" t="s">
        <v>319</v>
      </c>
      <c r="J1" s="2" t="s">
        <v>320</v>
      </c>
      <c r="K1" s="2" t="s">
        <v>321</v>
      </c>
      <c r="L1" s="2" t="s">
        <v>322</v>
      </c>
      <c r="M1" s="2" t="s">
        <v>306</v>
      </c>
    </row>
    <row r="2" ht="27">
      <c r="A2" s="14">
        <v>1</v>
      </c>
      <c r="B2" s="14" t="s">
        <v>323</v>
      </c>
      <c r="C2" s="15" t="str">
        <f>IFERROR(VLOOKUP($B2,Спр_Кабели!$A$4:$G$17,2,0),"")</f>
        <v xml:space="preserve">ОКСН — самонесущий неметаллический</v>
      </c>
      <c r="D2" s="15">
        <f>IFERROR(VLOOKUP($B2,Спр_Кабели!$A$4:$G$17,3,0),"")</f>
        <v>11.5</v>
      </c>
      <c r="E2" s="15">
        <f>IFERROR(VLOOKUP($B2,Спр_Кабели!$A$4:$G$17,4,0),"")</f>
        <v>105</v>
      </c>
      <c r="F2" s="15">
        <f>IFERROR(VLOOKUP($B2,Спр_Кабели!$A$4:$G$17,5,0),"")</f>
        <v>4</v>
      </c>
      <c r="G2" s="15" t="str">
        <f>IFERROR(VLOOKUP($B2,Спр_Кабели!$A$4:$G$17,6,0),"")</f>
        <v>0,4–110</v>
      </c>
      <c r="H2" s="14">
        <v>6</v>
      </c>
      <c r="I2" s="14" t="s">
        <v>324</v>
      </c>
      <c r="J2" s="14"/>
      <c r="K2" s="14" t="s">
        <v>325</v>
      </c>
      <c r="L2" s="15">
        <f>IF($B2="","",IFERROR(VLOOKUP($B2,Спр_Кабели!$A$4:$G$17,5,0),""))</f>
        <v>4</v>
      </c>
      <c r="M2" s="16" t="s">
        <v>311</v>
      </c>
    </row>
    <row r="3">
      <c r="A3" s="10"/>
      <c r="B3" s="10"/>
      <c r="C3" s="11" t="str">
        <f>IFERROR(VLOOKUP($B3,Спр_Кабели!$A$4:$G$17,2,0),"")</f>
        <v/>
      </c>
      <c r="D3" s="11" t="str">
        <f>IFERROR(VLOOKUP($B3,Спр_Кабели!$A$4:$G$17,3,0),"")</f>
        <v/>
      </c>
      <c r="E3" s="11" t="str">
        <f>IFERROR(VLOOKUP($B3,Спр_Кабели!$A$4:$G$17,4,0),"")</f>
        <v/>
      </c>
      <c r="F3" s="11" t="str">
        <f>IFERROR(VLOOKUP($B3,Спр_Кабели!$A$4:$G$17,5,0),"")</f>
        <v/>
      </c>
      <c r="G3" s="11" t="str">
        <f>IFERROR(VLOOKUP($B3,Спр_Кабели!$A$4:$G$17,6,0),"")</f>
        <v/>
      </c>
      <c r="H3" s="10"/>
      <c r="I3" s="10"/>
      <c r="J3" s="10"/>
      <c r="K3" s="10"/>
      <c r="L3" s="11" t="str">
        <f>IF($B3="","",IFERROR(VLOOKUP($B3,Спр_Кабели!$A$4:$G$17,5,0),""))</f>
        <v/>
      </c>
      <c r="M3" s="9"/>
    </row>
    <row r="4">
      <c r="A4" s="10"/>
      <c r="B4" s="10"/>
      <c r="C4" s="11" t="str">
        <f>IFERROR(VLOOKUP($B4,Спр_Кабели!$A$4:$G$17,2,0),"")</f>
        <v/>
      </c>
      <c r="D4" s="11" t="str">
        <f>IFERROR(VLOOKUP($B4,Спр_Кабели!$A$4:$G$17,3,0),"")</f>
        <v/>
      </c>
      <c r="E4" s="11" t="str">
        <f>IFERROR(VLOOKUP($B4,Спр_Кабели!$A$4:$G$17,4,0),"")</f>
        <v/>
      </c>
      <c r="F4" s="11" t="str">
        <f>IFERROR(VLOOKUP($B4,Спр_Кабели!$A$4:$G$17,5,0),"")</f>
        <v/>
      </c>
      <c r="G4" s="11" t="str">
        <f>IFERROR(VLOOKUP($B4,Спр_Кабели!$A$4:$G$17,6,0),"")</f>
        <v/>
      </c>
      <c r="H4" s="10"/>
      <c r="I4" s="10"/>
      <c r="J4" s="10"/>
      <c r="K4" s="10"/>
      <c r="L4" s="11" t="str">
        <f>IF($B4="","",IFERROR(VLOOKUP($B4,Спр_Кабели!$A$4:$G$17,5,0),""))</f>
        <v/>
      </c>
      <c r="M4" s="9"/>
    </row>
    <row r="5">
      <c r="A5" s="10"/>
      <c r="B5" s="10"/>
      <c r="C5" s="11" t="str">
        <f>IFERROR(VLOOKUP($B5,Спр_Кабели!$A$4:$G$17,2,0),"")</f>
        <v/>
      </c>
      <c r="D5" s="11" t="str">
        <f>IFERROR(VLOOKUP($B5,Спр_Кабели!$A$4:$G$17,3,0),"")</f>
        <v/>
      </c>
      <c r="E5" s="11" t="str">
        <f>IFERROR(VLOOKUP($B5,Спр_Кабели!$A$4:$G$17,4,0),"")</f>
        <v/>
      </c>
      <c r="F5" s="11" t="str">
        <f>IFERROR(VLOOKUP($B5,Спр_Кабели!$A$4:$G$17,5,0),"")</f>
        <v/>
      </c>
      <c r="G5" s="11" t="str">
        <f>IFERROR(VLOOKUP($B5,Спр_Кабели!$A$4:$G$17,6,0),"")</f>
        <v/>
      </c>
      <c r="H5" s="10"/>
      <c r="I5" s="10"/>
      <c r="J5" s="10"/>
      <c r="K5" s="10"/>
      <c r="L5" s="11" t="str">
        <f>IF($B5="","",IFERROR(VLOOKUP($B5,Спр_Кабели!$A$4:$G$17,5,0),""))</f>
        <v/>
      </c>
      <c r="M5" s="9"/>
    </row>
    <row r="6">
      <c r="A6" s="10"/>
      <c r="B6" s="10"/>
      <c r="C6" s="11" t="str">
        <f>IFERROR(VLOOKUP($B6,Спр_Кабели!$A$4:$G$17,2,0),"")</f>
        <v/>
      </c>
      <c r="D6" s="11" t="str">
        <f>IFERROR(VLOOKUP($B6,Спр_Кабели!$A$4:$G$17,3,0),"")</f>
        <v/>
      </c>
      <c r="E6" s="11" t="str">
        <f>IFERROR(VLOOKUP($B6,Спр_Кабели!$A$4:$G$17,4,0),"")</f>
        <v/>
      </c>
      <c r="F6" s="11" t="str">
        <f>IFERROR(VLOOKUP($B6,Спр_Кабели!$A$4:$G$17,5,0),"")</f>
        <v/>
      </c>
      <c r="G6" s="11" t="str">
        <f>IFERROR(VLOOKUP($B6,Спр_Кабели!$A$4:$G$17,6,0),"")</f>
        <v/>
      </c>
      <c r="H6" s="10"/>
      <c r="I6" s="10"/>
      <c r="J6" s="10"/>
      <c r="K6" s="10"/>
      <c r="L6" s="11" t="str">
        <f>IF($B6="","",IFERROR(VLOOKUP($B6,Спр_Кабели!$A$4:$G$17,5,0),""))</f>
        <v/>
      </c>
      <c r="M6" s="9"/>
    </row>
    <row r="7">
      <c r="A7" s="10"/>
      <c r="B7" s="10"/>
      <c r="C7" s="11" t="str">
        <f>IFERROR(VLOOKUP($B7,Спр_Кабели!$A$4:$G$17,2,0),"")</f>
        <v/>
      </c>
      <c r="D7" s="11" t="str">
        <f>IFERROR(VLOOKUP($B7,Спр_Кабели!$A$4:$G$17,3,0),"")</f>
        <v/>
      </c>
      <c r="E7" s="11" t="str">
        <f>IFERROR(VLOOKUP($B7,Спр_Кабели!$A$4:$G$17,4,0),"")</f>
        <v/>
      </c>
      <c r="F7" s="11" t="str">
        <f>IFERROR(VLOOKUP($B7,Спр_Кабели!$A$4:$G$17,5,0),"")</f>
        <v/>
      </c>
      <c r="G7" s="11" t="str">
        <f>IFERROR(VLOOKUP($B7,Спр_Кабели!$A$4:$G$17,6,0),"")</f>
        <v/>
      </c>
      <c r="H7" s="10"/>
      <c r="I7" s="10"/>
      <c r="J7" s="10"/>
      <c r="K7" s="10"/>
      <c r="L7" s="11" t="str">
        <f>IF($B7="","",IFERROR(VLOOKUP($B7,Спр_Кабели!$A$4:$G$17,5,0),""))</f>
        <v/>
      </c>
      <c r="M7" s="9"/>
    </row>
    <row r="8">
      <c r="A8" s="10"/>
      <c r="B8" s="10"/>
      <c r="C8" s="11" t="str">
        <f>IFERROR(VLOOKUP($B8,Спр_Кабели!$A$4:$G$17,2,0),"")</f>
        <v/>
      </c>
      <c r="D8" s="11" t="str">
        <f>IFERROR(VLOOKUP($B8,Спр_Кабели!$A$4:$G$17,3,0),"")</f>
        <v/>
      </c>
      <c r="E8" s="11" t="str">
        <f>IFERROR(VLOOKUP($B8,Спр_Кабели!$A$4:$G$17,4,0),"")</f>
        <v/>
      </c>
      <c r="F8" s="11" t="str">
        <f>IFERROR(VLOOKUP($B8,Спр_Кабели!$A$4:$G$17,5,0),"")</f>
        <v/>
      </c>
      <c r="G8" s="11" t="str">
        <f>IFERROR(VLOOKUP($B8,Спр_Кабели!$A$4:$G$17,6,0),"")</f>
        <v/>
      </c>
      <c r="H8" s="10"/>
      <c r="I8" s="10"/>
      <c r="J8" s="10"/>
      <c r="K8" s="10"/>
      <c r="L8" s="11" t="str">
        <f>IF($B8="","",IFERROR(VLOOKUP($B8,Спр_Кабели!$A$4:$G$17,5,0),""))</f>
        <v/>
      </c>
      <c r="M8" s="9"/>
    </row>
    <row r="9">
      <c r="A9" s="10"/>
      <c r="B9" s="10"/>
      <c r="C9" s="11" t="str">
        <f>IFERROR(VLOOKUP($B9,Спр_Кабели!$A$4:$G$17,2,0),"")</f>
        <v/>
      </c>
      <c r="D9" s="11" t="str">
        <f>IFERROR(VLOOKUP($B9,Спр_Кабели!$A$4:$G$17,3,0),"")</f>
        <v/>
      </c>
      <c r="E9" s="11" t="str">
        <f>IFERROR(VLOOKUP($B9,Спр_Кабели!$A$4:$G$17,4,0),"")</f>
        <v/>
      </c>
      <c r="F9" s="11" t="str">
        <f>IFERROR(VLOOKUP($B9,Спр_Кабели!$A$4:$G$17,5,0),"")</f>
        <v/>
      </c>
      <c r="G9" s="11" t="str">
        <f>IFERROR(VLOOKUP($B9,Спр_Кабели!$A$4:$G$17,6,0),"")</f>
        <v/>
      </c>
      <c r="H9" s="10"/>
      <c r="I9" s="10"/>
      <c r="J9" s="10"/>
      <c r="K9" s="10"/>
      <c r="L9" s="11" t="str">
        <f>IF($B9="","",IFERROR(VLOOKUP($B9,Спр_Кабели!$A$4:$G$17,5,0),""))</f>
        <v/>
      </c>
      <c r="M9" s="9"/>
    </row>
    <row r="10">
      <c r="A10" s="10"/>
      <c r="B10" s="10"/>
      <c r="C10" s="11" t="str">
        <f>IFERROR(VLOOKUP($B10,Спр_Кабели!$A$4:$G$17,2,0),"")</f>
        <v/>
      </c>
      <c r="D10" s="11" t="str">
        <f>IFERROR(VLOOKUP($B10,Спр_Кабели!$A$4:$G$17,3,0),"")</f>
        <v/>
      </c>
      <c r="E10" s="11" t="str">
        <f>IFERROR(VLOOKUP($B10,Спр_Кабели!$A$4:$G$17,4,0),"")</f>
        <v/>
      </c>
      <c r="F10" s="11" t="str">
        <f>IFERROR(VLOOKUP($B10,Спр_Кабели!$A$4:$G$17,5,0),"")</f>
        <v/>
      </c>
      <c r="G10" s="11" t="str">
        <f>IFERROR(VLOOKUP($B10,Спр_Кабели!$A$4:$G$17,6,0),"")</f>
        <v/>
      </c>
      <c r="H10" s="10"/>
      <c r="I10" s="10"/>
      <c r="J10" s="10"/>
      <c r="K10" s="10"/>
      <c r="L10" s="11" t="str">
        <f>IF($B10="","",IFERROR(VLOOKUP($B10,Спр_Кабели!$A$4:$G$17,5,0),""))</f>
        <v/>
      </c>
      <c r="M10" s="9"/>
    </row>
    <row r="11">
      <c r="A11" s="10"/>
      <c r="B11" s="10"/>
      <c r="C11" s="11" t="str">
        <f>IFERROR(VLOOKUP($B11,Спр_Кабели!$A$4:$G$17,2,0),"")</f>
        <v/>
      </c>
      <c r="D11" s="11" t="str">
        <f>IFERROR(VLOOKUP($B11,Спр_Кабели!$A$4:$G$17,3,0),"")</f>
        <v/>
      </c>
      <c r="E11" s="11" t="str">
        <f>IFERROR(VLOOKUP($B11,Спр_Кабели!$A$4:$G$17,4,0),"")</f>
        <v/>
      </c>
      <c r="F11" s="11" t="str">
        <f>IFERROR(VLOOKUP($B11,Спр_Кабели!$A$4:$G$17,5,0),"")</f>
        <v/>
      </c>
      <c r="G11" s="11" t="str">
        <f>IFERROR(VLOOKUP($B11,Спр_Кабели!$A$4:$G$17,6,0),"")</f>
        <v/>
      </c>
      <c r="H11" s="10"/>
      <c r="I11" s="10"/>
      <c r="J11" s="10"/>
      <c r="K11" s="10"/>
      <c r="L11" s="11" t="str">
        <f>IF($B11="","",IFERROR(VLOOKUP($B11,Спр_Кабели!$A$4:$G$17,5,0),""))</f>
        <v/>
      </c>
      <c r="M11" s="9"/>
    </row>
    <row r="12">
      <c r="A12" s="10"/>
      <c r="B12" s="10"/>
      <c r="C12" s="11" t="str">
        <f>IFERROR(VLOOKUP($B12,Спр_Кабели!$A$4:$G$17,2,0),"")</f>
        <v/>
      </c>
      <c r="D12" s="11" t="str">
        <f>IFERROR(VLOOKUP($B12,Спр_Кабели!$A$4:$G$17,3,0),"")</f>
        <v/>
      </c>
      <c r="E12" s="11" t="str">
        <f>IFERROR(VLOOKUP($B12,Спр_Кабели!$A$4:$G$17,4,0),"")</f>
        <v/>
      </c>
      <c r="F12" s="11" t="str">
        <f>IFERROR(VLOOKUP($B12,Спр_Кабели!$A$4:$G$17,5,0),"")</f>
        <v/>
      </c>
      <c r="G12" s="11" t="str">
        <f>IFERROR(VLOOKUP($B12,Спр_Кабели!$A$4:$G$17,6,0),"")</f>
        <v/>
      </c>
      <c r="H12" s="10"/>
      <c r="I12" s="10"/>
      <c r="J12" s="10"/>
      <c r="K12" s="10"/>
      <c r="L12" s="11" t="str">
        <f>IF($B12="","",IFERROR(VLOOKUP($B12,Спр_Кабели!$A$4:$G$17,5,0),""))</f>
        <v/>
      </c>
      <c r="M12" s="9"/>
    </row>
    <row r="13">
      <c r="A13" s="10"/>
      <c r="B13" s="10"/>
      <c r="C13" s="11" t="str">
        <f>IFERROR(VLOOKUP($B13,Спр_Кабели!$A$4:$G$17,2,0),"")</f>
        <v/>
      </c>
      <c r="D13" s="11" t="str">
        <f>IFERROR(VLOOKUP($B13,Спр_Кабели!$A$4:$G$17,3,0),"")</f>
        <v/>
      </c>
      <c r="E13" s="11" t="str">
        <f>IFERROR(VLOOKUP($B13,Спр_Кабели!$A$4:$G$17,4,0),"")</f>
        <v/>
      </c>
      <c r="F13" s="11" t="str">
        <f>IFERROR(VLOOKUP($B13,Спр_Кабели!$A$4:$G$17,5,0),"")</f>
        <v/>
      </c>
      <c r="G13" s="11" t="str">
        <f>IFERROR(VLOOKUP($B13,Спр_Кабели!$A$4:$G$17,6,0),"")</f>
        <v/>
      </c>
      <c r="H13" s="10"/>
      <c r="I13" s="10"/>
      <c r="J13" s="10"/>
      <c r="K13" s="10"/>
      <c r="L13" s="11" t="str">
        <f>IF($B13="","",IFERROR(VLOOKUP($B13,Спр_Кабели!$A$4:$G$17,5,0),""))</f>
        <v/>
      </c>
      <c r="M13" s="9"/>
    </row>
    <row r="14">
      <c r="A14" s="10"/>
      <c r="B14" s="10"/>
      <c r="C14" s="11" t="str">
        <f>IFERROR(VLOOKUP($B14,Спр_Кабели!$A$4:$G$17,2,0),"")</f>
        <v/>
      </c>
      <c r="D14" s="11" t="str">
        <f>IFERROR(VLOOKUP($B14,Спр_Кабели!$A$4:$G$17,3,0),"")</f>
        <v/>
      </c>
      <c r="E14" s="11" t="str">
        <f>IFERROR(VLOOKUP($B14,Спр_Кабели!$A$4:$G$17,4,0),"")</f>
        <v/>
      </c>
      <c r="F14" s="11" t="str">
        <f>IFERROR(VLOOKUP($B14,Спр_Кабели!$A$4:$G$17,5,0),"")</f>
        <v/>
      </c>
      <c r="G14" s="11" t="str">
        <f>IFERROR(VLOOKUP($B14,Спр_Кабели!$A$4:$G$17,6,0),"")</f>
        <v/>
      </c>
      <c r="H14" s="10"/>
      <c r="I14" s="10"/>
      <c r="J14" s="10"/>
      <c r="K14" s="10"/>
      <c r="L14" s="11" t="str">
        <f>IF($B14="","",IFERROR(VLOOKUP($B14,Спр_Кабели!$A$4:$G$17,5,0),""))</f>
        <v/>
      </c>
      <c r="M14" s="9"/>
    </row>
    <row r="15">
      <c r="A15" s="10"/>
      <c r="B15" s="10"/>
      <c r="C15" s="11" t="str">
        <f>IFERROR(VLOOKUP($B15,Спр_Кабели!$A$4:$G$17,2,0),"")</f>
        <v/>
      </c>
      <c r="D15" s="11" t="str">
        <f>IFERROR(VLOOKUP($B15,Спр_Кабели!$A$4:$G$17,3,0),"")</f>
        <v/>
      </c>
      <c r="E15" s="11" t="str">
        <f>IFERROR(VLOOKUP($B15,Спр_Кабели!$A$4:$G$17,4,0),"")</f>
        <v/>
      </c>
      <c r="F15" s="11" t="str">
        <f>IFERROR(VLOOKUP($B15,Спр_Кабели!$A$4:$G$17,5,0),"")</f>
        <v/>
      </c>
      <c r="G15" s="11" t="str">
        <f>IFERROR(VLOOKUP($B15,Спр_Кабели!$A$4:$G$17,6,0),"")</f>
        <v/>
      </c>
      <c r="H15" s="10"/>
      <c r="I15" s="10"/>
      <c r="J15" s="10"/>
      <c r="K15" s="10"/>
      <c r="L15" s="11" t="str">
        <f>IF($B15="","",IFERROR(VLOOKUP($B15,Спр_Кабели!$A$4:$G$17,5,0),""))</f>
        <v/>
      </c>
      <c r="M15" s="9"/>
    </row>
    <row r="16">
      <c r="A16" s="10"/>
      <c r="B16" s="10"/>
      <c r="C16" s="11" t="str">
        <f>IFERROR(VLOOKUP($B16,Спр_Кабели!$A$4:$G$17,2,0),"")</f>
        <v/>
      </c>
      <c r="D16" s="11" t="str">
        <f>IFERROR(VLOOKUP($B16,Спр_Кабели!$A$4:$G$17,3,0),"")</f>
        <v/>
      </c>
      <c r="E16" s="11" t="str">
        <f>IFERROR(VLOOKUP($B16,Спр_Кабели!$A$4:$G$17,4,0),"")</f>
        <v/>
      </c>
      <c r="F16" s="11" t="str">
        <f>IFERROR(VLOOKUP($B16,Спр_Кабели!$A$4:$G$17,5,0),"")</f>
        <v/>
      </c>
      <c r="G16" s="11" t="str">
        <f>IFERROR(VLOOKUP($B16,Спр_Кабели!$A$4:$G$17,6,0),"")</f>
        <v/>
      </c>
      <c r="H16" s="10"/>
      <c r="I16" s="10"/>
      <c r="J16" s="10"/>
      <c r="K16" s="10"/>
      <c r="L16" s="11" t="str">
        <f>IF($B16="","",IFERROR(VLOOKUP($B16,Спр_Кабели!$A$4:$G$17,5,0),""))</f>
        <v/>
      </c>
      <c r="M16" s="9"/>
    </row>
    <row r="17">
      <c r="A17" s="10"/>
      <c r="B17" s="10"/>
      <c r="C17" s="11" t="str">
        <f>IFERROR(VLOOKUP($B17,Спр_Кабели!$A$4:$G$17,2,0),"")</f>
        <v/>
      </c>
      <c r="D17" s="11" t="str">
        <f>IFERROR(VLOOKUP($B17,Спр_Кабели!$A$4:$G$17,3,0),"")</f>
        <v/>
      </c>
      <c r="E17" s="11" t="str">
        <f>IFERROR(VLOOKUP($B17,Спр_Кабели!$A$4:$G$17,4,0),"")</f>
        <v/>
      </c>
      <c r="F17" s="11" t="str">
        <f>IFERROR(VLOOKUP($B17,Спр_Кабели!$A$4:$G$17,5,0),"")</f>
        <v/>
      </c>
      <c r="G17" s="11" t="str">
        <f>IFERROR(VLOOKUP($B17,Спр_Кабели!$A$4:$G$17,6,0),"")</f>
        <v/>
      </c>
      <c r="H17" s="10"/>
      <c r="I17" s="10"/>
      <c r="J17" s="10"/>
      <c r="K17" s="10"/>
      <c r="L17" s="11" t="str">
        <f>IF($B17="","",IFERROR(VLOOKUP($B17,Спр_Кабели!$A$4:$G$17,5,0),""))</f>
        <v/>
      </c>
      <c r="M17" s="9"/>
    </row>
    <row r="18">
      <c r="A18" s="10"/>
      <c r="B18" s="10"/>
      <c r="C18" s="11" t="str">
        <f>IFERROR(VLOOKUP($B18,Спр_Кабели!$A$4:$G$17,2,0),"")</f>
        <v/>
      </c>
      <c r="D18" s="11" t="str">
        <f>IFERROR(VLOOKUP($B18,Спр_Кабели!$A$4:$G$17,3,0),"")</f>
        <v/>
      </c>
      <c r="E18" s="11" t="str">
        <f>IFERROR(VLOOKUP($B18,Спр_Кабели!$A$4:$G$17,4,0),"")</f>
        <v/>
      </c>
      <c r="F18" s="11" t="str">
        <f>IFERROR(VLOOKUP($B18,Спр_Кабели!$A$4:$G$17,5,0),"")</f>
        <v/>
      </c>
      <c r="G18" s="11" t="str">
        <f>IFERROR(VLOOKUP($B18,Спр_Кабели!$A$4:$G$17,6,0),"")</f>
        <v/>
      </c>
      <c r="H18" s="10"/>
      <c r="I18" s="10"/>
      <c r="J18" s="10"/>
      <c r="K18" s="10"/>
      <c r="L18" s="11" t="str">
        <f>IF($B18="","",IFERROR(VLOOKUP($B18,Спр_Кабели!$A$4:$G$17,5,0),""))</f>
        <v/>
      </c>
      <c r="M18" s="9"/>
    </row>
    <row r="19">
      <c r="A19" s="10"/>
      <c r="B19" s="10"/>
      <c r="C19" s="11" t="str">
        <f>IFERROR(VLOOKUP($B19,Спр_Кабели!$A$4:$G$17,2,0),"")</f>
        <v/>
      </c>
      <c r="D19" s="11" t="str">
        <f>IFERROR(VLOOKUP($B19,Спр_Кабели!$A$4:$G$17,3,0),"")</f>
        <v/>
      </c>
      <c r="E19" s="11" t="str">
        <f>IFERROR(VLOOKUP($B19,Спр_Кабели!$A$4:$G$17,4,0),"")</f>
        <v/>
      </c>
      <c r="F19" s="11" t="str">
        <f>IFERROR(VLOOKUP($B19,Спр_Кабели!$A$4:$G$17,5,0),"")</f>
        <v/>
      </c>
      <c r="G19" s="11" t="str">
        <f>IFERROR(VLOOKUP($B19,Спр_Кабели!$A$4:$G$17,6,0),"")</f>
        <v/>
      </c>
      <c r="H19" s="10"/>
      <c r="I19" s="10"/>
      <c r="J19" s="10"/>
      <c r="K19" s="10"/>
      <c r="L19" s="11" t="str">
        <f>IF($B19="","",IFERROR(VLOOKUP($B19,Спр_Кабели!$A$4:$G$17,5,0),""))</f>
        <v/>
      </c>
      <c r="M19" s="9"/>
    </row>
    <row r="20">
      <c r="A20" s="10"/>
      <c r="B20" s="10"/>
      <c r="C20" s="11" t="str">
        <f>IFERROR(VLOOKUP($B20,Спр_Кабели!$A$4:$G$17,2,0),"")</f>
        <v/>
      </c>
      <c r="D20" s="11" t="str">
        <f>IFERROR(VLOOKUP($B20,Спр_Кабели!$A$4:$G$17,3,0),"")</f>
        <v/>
      </c>
      <c r="E20" s="11" t="str">
        <f>IFERROR(VLOOKUP($B20,Спр_Кабели!$A$4:$G$17,4,0),"")</f>
        <v/>
      </c>
      <c r="F20" s="11" t="str">
        <f>IFERROR(VLOOKUP($B20,Спр_Кабели!$A$4:$G$17,5,0),"")</f>
        <v/>
      </c>
      <c r="G20" s="11" t="str">
        <f>IFERROR(VLOOKUP($B20,Спр_Кабели!$A$4:$G$17,6,0),"")</f>
        <v/>
      </c>
      <c r="H20" s="10"/>
      <c r="I20" s="10"/>
      <c r="J20" s="10"/>
      <c r="K20" s="10"/>
      <c r="L20" s="11" t="str">
        <f>IF($B20="","",IFERROR(VLOOKUP($B20,Спр_Кабели!$A$4:$G$17,5,0),""))</f>
        <v/>
      </c>
      <c r="M20" s="9"/>
    </row>
  </sheetData>
  <dataValidations count="2" disablePrompts="0">
    <dataValidation sqref="K2:K20" type="list" allowBlank="1" errorStyle="stop" imeMode="noControl" operator="between" showDropDown="0" showErrorMessage="0" showInputMessage="0">
      <formula1>Спр_Списки!$A$2:$A$11</formula1>
    </dataValidation>
    <dataValidation sqref="B2:B20" type="list" allowBlank="1" errorStyle="stop" imeMode="noControl" operator="between" showDropDown="0" showErrorMessage="0" showInputMessage="0">
      <formula1>Спр_Кабели!$A$4:$A$34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5" ySplit="1" topLeftCell="F2" activePane="bottomRight" state="frozen"/>
      <selection activeCell="A1" activeCellId="0" sqref="A1"/>
    </sheetView>
  </sheetViews>
  <sheetFormatPr defaultRowHeight="14.25"/>
  <cols>
    <col customWidth="1" min="1" max="1" width="6"/>
    <col customWidth="1" min="2" max="2" width="22"/>
    <col customWidth="1" min="3" max="3" width="10"/>
    <col customWidth="1" min="4" max="4" width="12"/>
    <col customWidth="1" min="5" max="6" width="16"/>
    <col customWidth="1" min="7" max="7" width="20"/>
    <col customWidth="1" min="8" max="9" width="12"/>
    <col customWidth="1" min="10" max="10" width="11"/>
    <col customWidth="1" min="11" max="11" width="28"/>
    <col customWidth="1" min="12" max="12" width="24"/>
    <col customWidth="1" min="13" max="13" width="18"/>
    <col customWidth="1" min="14" max="14" width="30"/>
    <col customWidth="1" min="15" max="15" width="26"/>
    <col customWidth="1" min="16" max="17" width="11"/>
    <col customWidth="1" min="18" max="18" width="14"/>
    <col customWidth="1" min="19" max="19" width="12"/>
    <col customWidth="1" min="20" max="20" width="26"/>
    <col customWidth="1" min="21" max="21" width="20"/>
    <col customWidth="1" min="22" max="22" width="14"/>
    <col customWidth="1" min="23" max="23" width="16"/>
  </cols>
  <sheetData>
    <row r="1" ht="51.950000000000003" customHeight="1">
      <c r="A1" s="2" t="s">
        <v>296</v>
      </c>
      <c r="B1" s="2" t="s">
        <v>297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330</v>
      </c>
      <c r="H1" s="2" t="s">
        <v>331</v>
      </c>
      <c r="I1" s="2" t="s">
        <v>332</v>
      </c>
      <c r="J1" s="2" t="s">
        <v>333</v>
      </c>
      <c r="K1" s="2" t="s">
        <v>334</v>
      </c>
      <c r="L1" s="2" t="s">
        <v>335</v>
      </c>
      <c r="M1" s="2" t="s">
        <v>336</v>
      </c>
      <c r="N1" s="2" t="s">
        <v>337</v>
      </c>
      <c r="O1" s="2" t="s">
        <v>320</v>
      </c>
      <c r="P1" s="2" t="s">
        <v>338</v>
      </c>
      <c r="Q1" s="2" t="s">
        <v>339</v>
      </c>
      <c r="R1" s="2" t="s">
        <v>340</v>
      </c>
      <c r="S1" s="2" t="s">
        <v>341</v>
      </c>
      <c r="T1" s="2" t="s">
        <v>342</v>
      </c>
      <c r="U1" s="2" t="s">
        <v>343</v>
      </c>
      <c r="V1" s="2" t="s">
        <v>344</v>
      </c>
      <c r="W1" s="2" t="s">
        <v>306</v>
      </c>
    </row>
    <row r="2" ht="27">
      <c r="A2" s="14">
        <v>1</v>
      </c>
      <c r="B2" s="14" t="s">
        <v>142</v>
      </c>
      <c r="C2" s="14" t="s">
        <v>345</v>
      </c>
      <c r="D2" s="14" t="s">
        <v>145</v>
      </c>
      <c r="E2" s="14" t="s">
        <v>346</v>
      </c>
      <c r="F2" s="15" t="str">
        <f>IFERROR(VLOOKUP($E2,Спр_Опоры!$B$4:$J$70,2,0),"")</f>
        <v>Железобетонная</v>
      </c>
      <c r="G2" s="15" t="str">
        <f>IFERROR(VLOOKUP($E2,Спр_Опоры!$B$4:$J$70,3,0),"")</f>
        <v xml:space="preserve">Промежуточная (ненасел.)</v>
      </c>
      <c r="H2" s="14">
        <v>50</v>
      </c>
      <c r="I2" s="14">
        <v>0</v>
      </c>
      <c r="J2" s="14" t="s">
        <v>347</v>
      </c>
      <c r="K2" s="15">
        <f>IFERROR(VLOOKUP($J2,Спр_Дефекты!$A$4:$F$7,2,0),"")</f>
        <v>0</v>
      </c>
      <c r="L2" s="15" t="str">
        <f>IFERROR(VLOOKUP($J2,Спр_Дефекты!$A$4:$F$7,3,0),"")</f>
        <v>Работоспособное</v>
      </c>
      <c r="M2" s="15" t="str">
        <f>IFERROR(VLOOKUP($J2,Спр_Дефекты!$A$4:$F$7,4,0),"")</f>
        <v>есть</v>
      </c>
      <c r="N2" s="15">
        <f>IFERROR(VLOOKUP($J2,Спр_Дефекты!$A$4:$F$7,5,0),"")</f>
        <v>1</v>
      </c>
      <c r="O2" s="15">
        <f>IFERROR(VLOOKUP($J2,Спр_Дефекты!$A$4:$F$7,6,0),"")</f>
        <v>0</v>
      </c>
      <c r="P2" s="14">
        <v>45.104199999999999</v>
      </c>
      <c r="Q2" s="14">
        <v>41.028100000000002</v>
      </c>
      <c r="R2" s="14" t="s">
        <v>153</v>
      </c>
      <c r="S2" s="14"/>
      <c r="T2" s="14"/>
      <c r="U2" s="14"/>
      <c r="V2" s="15">
        <f>IFERROR(VLOOKUP($E2,Спр_Опоры!$B$4:$J$70,9,0),"")</f>
        <v>60</v>
      </c>
      <c r="W2" s="14" t="s">
        <v>311</v>
      </c>
    </row>
    <row r="3" ht="54">
      <c r="A3" s="14">
        <v>2</v>
      </c>
      <c r="B3" s="14" t="s">
        <v>142</v>
      </c>
      <c r="C3" s="14" t="s">
        <v>348</v>
      </c>
      <c r="D3" s="14" t="s">
        <v>145</v>
      </c>
      <c r="E3" s="14" t="s">
        <v>346</v>
      </c>
      <c r="F3" s="15" t="str">
        <f>IFERROR(VLOOKUP($E3,Спр_Опоры!$B$4:$J$70,2,0),"")</f>
        <v>Железобетонная</v>
      </c>
      <c r="G3" s="15" t="str">
        <f>IFERROR(VLOOKUP($E3,Спр_Опоры!$B$4:$J$70,3,0),"")</f>
        <v xml:space="preserve">Промежуточная (ненасел.)</v>
      </c>
      <c r="H3" s="14">
        <v>48</v>
      </c>
      <c r="I3" s="14">
        <v>0</v>
      </c>
      <c r="J3" s="14" t="s">
        <v>349</v>
      </c>
      <c r="K3" s="15" t="str">
        <f>IFERROR(VLOOKUP($J3,Спр_Дефекты!$A$4:$F$7,2,0),"")</f>
        <v xml:space="preserve">Отклонение стойки от вертикали сверх допустимого; трещины с раскрытием сверх нормы</v>
      </c>
      <c r="L3" s="15" t="str">
        <f>IFERROR(VLOOKUP($J3,Спр_Дефекты!$A$4:$F$7,3,0),"")</f>
        <v xml:space="preserve">Ограниченно работоспособное</v>
      </c>
      <c r="M3" s="15" t="str">
        <f>IFERROR(VLOOKUP($J3,Спр_Дефекты!$A$4:$F$7,4,0),"")</f>
        <v xml:space="preserve">есть при условии</v>
      </c>
      <c r="N3" s="15">
        <f>IFERROR(VLOOKUP($J3,Спр_Дефекты!$A$4:$F$7,5,0),"")</f>
        <v>0.80000000000000004</v>
      </c>
      <c r="O3" s="15" t="str">
        <f>IFERROR(VLOOKUP($J3,Спр_Дефекты!$A$4:$F$7,6,0),"")</f>
        <v xml:space="preserve">Выправка опоры / усиление (в проектную документацию)</v>
      </c>
      <c r="P3" s="14">
        <v>45.104599999999998</v>
      </c>
      <c r="Q3" s="14">
        <v>41.028700000000001</v>
      </c>
      <c r="R3" s="14" t="s">
        <v>153</v>
      </c>
      <c r="S3" s="14"/>
      <c r="T3" s="14"/>
      <c r="U3" s="14"/>
      <c r="V3" s="15">
        <f>IFERROR(VLOOKUP($E3,Спр_Опоры!$B$4:$J$70,9,0),"")</f>
        <v>60</v>
      </c>
      <c r="W3" s="14" t="s">
        <v>311</v>
      </c>
    </row>
    <row r="4" ht="40.5">
      <c r="A4" s="14">
        <v>3</v>
      </c>
      <c r="B4" s="14" t="s">
        <v>142</v>
      </c>
      <c r="C4" s="14" t="s">
        <v>350</v>
      </c>
      <c r="D4" s="14" t="s">
        <v>145</v>
      </c>
      <c r="E4" s="14" t="s">
        <v>351</v>
      </c>
      <c r="F4" s="15" t="str">
        <f>IFERROR(VLOOKUP($E4,Спр_Опоры!$B$4:$J$70,2,0),"")</f>
        <v>Железобетонная</v>
      </c>
      <c r="G4" s="15" t="str">
        <f>IFERROR(VLOOKUP($E4,Спр_Опоры!$B$4:$J$70,3,0),"")</f>
        <v xml:space="preserve">Анкерная угловая (до 90°)</v>
      </c>
      <c r="H4" s="14">
        <v>42</v>
      </c>
      <c r="I4" s="14">
        <v>1</v>
      </c>
      <c r="J4" s="14" t="s">
        <v>352</v>
      </c>
      <c r="K4" s="15" t="str">
        <f>IFERROR(VLOOKUP($J4,Спр_Дефекты!$A$4:$F$7,2,0),"")</f>
        <v xml:space="preserve">Разрушение защитного слоя бетона с обнажением и коррозией арматуры</v>
      </c>
      <c r="L4" s="15" t="str">
        <f>IFERROR(VLOOKUP($J4,Спр_Дефекты!$A$4:$F$7,3,0),"")</f>
        <v>Аварийное</v>
      </c>
      <c r="M4" s="15" t="str">
        <f>IFERROR(VLOOKUP($J4,Спр_Дефекты!$A$4:$F$7,4,0),"")</f>
        <v>отсутствует</v>
      </c>
      <c r="N4" s="15">
        <f>IFERROR(VLOOKUP($J4,Спр_Дефекты!$A$4:$F$7,5,0),"")</f>
        <v>0</v>
      </c>
      <c r="O4" s="15" t="str">
        <f>IFERROR(VLOOKUP($J4,Спр_Дефекты!$A$4:$F$7,6,0),"")</f>
        <v xml:space="preserve">Замена стойки (в проектную документацию)</v>
      </c>
      <c r="P4" s="14">
        <v>45.1051</v>
      </c>
      <c r="Q4" s="14">
        <v>41.029400000000003</v>
      </c>
      <c r="R4" s="14" t="s">
        <v>153</v>
      </c>
      <c r="S4" s="14">
        <v>30</v>
      </c>
      <c r="T4" s="14" t="s">
        <v>353</v>
      </c>
      <c r="U4" s="14">
        <v>6</v>
      </c>
      <c r="V4" s="15">
        <f>IFERROR(VLOOKUP($E4,Спр_Опоры!$B$4:$J$70,9,0),"")</f>
        <v>60</v>
      </c>
      <c r="W4" s="14" t="s">
        <v>311</v>
      </c>
    </row>
    <row r="5">
      <c r="A5" s="10"/>
      <c r="B5" s="10"/>
      <c r="C5" s="10"/>
      <c r="D5" s="10"/>
      <c r="E5" s="10"/>
      <c r="F5" s="11" t="str">
        <f>IFERROR(VLOOKUP($E5,Спр_Опоры!$B$4:$J$70,2,0),"")</f>
        <v/>
      </c>
      <c r="G5" s="11" t="str">
        <f>IFERROR(VLOOKUP($E5,Спр_Опоры!$B$4:$J$70,3,0),"")</f>
        <v/>
      </c>
      <c r="H5" s="10"/>
      <c r="I5" s="10"/>
      <c r="J5" s="10"/>
      <c r="K5" s="11" t="str">
        <f>IFERROR(VLOOKUP($J5,Спр_Дефекты!$A$4:$F$7,2,0),"")</f>
        <v/>
      </c>
      <c r="L5" s="11" t="str">
        <f>IFERROR(VLOOKUP($J5,Спр_Дефекты!$A$4:$F$7,3,0),"")</f>
        <v/>
      </c>
      <c r="M5" s="11" t="str">
        <f>IFERROR(VLOOKUP($J5,Спр_Дефекты!$A$4:$F$7,4,0),"")</f>
        <v/>
      </c>
      <c r="N5" s="11" t="str">
        <f>IFERROR(VLOOKUP($J5,Спр_Дефекты!$A$4:$F$7,5,0),"")</f>
        <v/>
      </c>
      <c r="O5" s="11" t="str">
        <f>IFERROR(VLOOKUP($J5,Спр_Дефекты!$A$4:$F$7,6,0),"")</f>
        <v/>
      </c>
      <c r="P5" s="10"/>
      <c r="Q5" s="10"/>
      <c r="R5" s="10"/>
      <c r="S5" s="10"/>
      <c r="T5" s="10"/>
      <c r="U5" s="10"/>
      <c r="V5" s="11" t="str">
        <f>IFERROR(VLOOKUP($E5,Спр_Опоры!$B$4:$J$70,9,0),"")</f>
        <v/>
      </c>
      <c r="W5" s="10"/>
    </row>
    <row r="6">
      <c r="A6" s="10"/>
      <c r="B6" s="10"/>
      <c r="C6" s="10"/>
      <c r="D6" s="10"/>
      <c r="E6" s="10"/>
      <c r="F6" s="11" t="str">
        <f>IFERROR(VLOOKUP($E6,Спр_Опоры!$B$4:$J$70,2,0),"")</f>
        <v/>
      </c>
      <c r="G6" s="11" t="str">
        <f>IFERROR(VLOOKUP($E6,Спр_Опоры!$B$4:$J$70,3,0),"")</f>
        <v/>
      </c>
      <c r="H6" s="10"/>
      <c r="I6" s="10"/>
      <c r="J6" s="10"/>
      <c r="K6" s="11" t="str">
        <f>IFERROR(VLOOKUP($J6,Спр_Дефекты!$A$4:$F$7,2,0),"")</f>
        <v/>
      </c>
      <c r="L6" s="11" t="str">
        <f>IFERROR(VLOOKUP($J6,Спр_Дефекты!$A$4:$F$7,3,0),"")</f>
        <v/>
      </c>
      <c r="M6" s="11" t="str">
        <f>IFERROR(VLOOKUP($J6,Спр_Дефекты!$A$4:$F$7,4,0),"")</f>
        <v/>
      </c>
      <c r="N6" s="11" t="str">
        <f>IFERROR(VLOOKUP($J6,Спр_Дефекты!$A$4:$F$7,5,0),"")</f>
        <v/>
      </c>
      <c r="O6" s="11" t="str">
        <f>IFERROR(VLOOKUP($J6,Спр_Дефекты!$A$4:$F$7,6,0),"")</f>
        <v/>
      </c>
      <c r="P6" s="10"/>
      <c r="Q6" s="10"/>
      <c r="R6" s="10"/>
      <c r="S6" s="10"/>
      <c r="T6" s="10"/>
      <c r="U6" s="10"/>
      <c r="V6" s="11" t="str">
        <f>IFERROR(VLOOKUP($E6,Спр_Опоры!$B$4:$J$70,9,0),"")</f>
        <v/>
      </c>
      <c r="W6" s="10"/>
    </row>
    <row r="7">
      <c r="A7" s="10"/>
      <c r="B7" s="10"/>
      <c r="C7" s="10"/>
      <c r="D7" s="10"/>
      <c r="E7" s="10"/>
      <c r="F7" s="11" t="str">
        <f>IFERROR(VLOOKUP($E7,Спр_Опоры!$B$4:$J$70,2,0),"")</f>
        <v/>
      </c>
      <c r="G7" s="11" t="str">
        <f>IFERROR(VLOOKUP($E7,Спр_Опоры!$B$4:$J$70,3,0),"")</f>
        <v/>
      </c>
      <c r="H7" s="10"/>
      <c r="I7" s="10"/>
      <c r="J7" s="10"/>
      <c r="K7" s="11" t="str">
        <f>IFERROR(VLOOKUP($J7,Спр_Дефекты!$A$4:$F$7,2,0),"")</f>
        <v/>
      </c>
      <c r="L7" s="11" t="str">
        <f>IFERROR(VLOOKUP($J7,Спр_Дефекты!$A$4:$F$7,3,0),"")</f>
        <v/>
      </c>
      <c r="M7" s="11" t="str">
        <f>IFERROR(VLOOKUP($J7,Спр_Дефекты!$A$4:$F$7,4,0),"")</f>
        <v/>
      </c>
      <c r="N7" s="11" t="str">
        <f>IFERROR(VLOOKUP($J7,Спр_Дефекты!$A$4:$F$7,5,0),"")</f>
        <v/>
      </c>
      <c r="O7" s="11" t="str">
        <f>IFERROR(VLOOKUP($J7,Спр_Дефекты!$A$4:$F$7,6,0),"")</f>
        <v/>
      </c>
      <c r="P7" s="10"/>
      <c r="Q7" s="10"/>
      <c r="R7" s="10"/>
      <c r="S7" s="10"/>
      <c r="T7" s="10"/>
      <c r="U7" s="10"/>
      <c r="V7" s="11" t="str">
        <f>IFERROR(VLOOKUP($E7,Спр_Опоры!$B$4:$J$70,9,0),"")</f>
        <v/>
      </c>
      <c r="W7" s="10"/>
    </row>
    <row r="8">
      <c r="A8" s="10"/>
      <c r="B8" s="10"/>
      <c r="C8" s="10"/>
      <c r="D8" s="10"/>
      <c r="E8" s="10"/>
      <c r="F8" s="11" t="str">
        <f>IFERROR(VLOOKUP($E8,Спр_Опоры!$B$4:$J$70,2,0),"")</f>
        <v/>
      </c>
      <c r="G8" s="11" t="str">
        <f>IFERROR(VLOOKUP($E8,Спр_Опоры!$B$4:$J$70,3,0),"")</f>
        <v/>
      </c>
      <c r="H8" s="10"/>
      <c r="I8" s="10"/>
      <c r="J8" s="10"/>
      <c r="K8" s="11" t="str">
        <f>IFERROR(VLOOKUP($J8,Спр_Дефекты!$A$4:$F$7,2,0),"")</f>
        <v/>
      </c>
      <c r="L8" s="11" t="str">
        <f>IFERROR(VLOOKUP($J8,Спр_Дефекты!$A$4:$F$7,3,0),"")</f>
        <v/>
      </c>
      <c r="M8" s="11" t="str">
        <f>IFERROR(VLOOKUP($J8,Спр_Дефекты!$A$4:$F$7,4,0),"")</f>
        <v/>
      </c>
      <c r="N8" s="11" t="str">
        <f>IFERROR(VLOOKUP($J8,Спр_Дефекты!$A$4:$F$7,5,0),"")</f>
        <v/>
      </c>
      <c r="O8" s="11" t="str">
        <f>IFERROR(VLOOKUP($J8,Спр_Дефекты!$A$4:$F$7,6,0),"")</f>
        <v/>
      </c>
      <c r="P8" s="10"/>
      <c r="Q8" s="10"/>
      <c r="R8" s="10"/>
      <c r="S8" s="10"/>
      <c r="T8" s="10"/>
      <c r="U8" s="10"/>
      <c r="V8" s="11" t="str">
        <f>IFERROR(VLOOKUP($E8,Спр_Опоры!$B$4:$J$70,9,0),"")</f>
        <v/>
      </c>
      <c r="W8" s="10"/>
    </row>
    <row r="9">
      <c r="A9" s="10"/>
      <c r="B9" s="10"/>
      <c r="C9" s="10"/>
      <c r="D9" s="10"/>
      <c r="E9" s="10"/>
      <c r="F9" s="11" t="str">
        <f>IFERROR(VLOOKUP($E9,Спр_Опоры!$B$4:$J$70,2,0),"")</f>
        <v/>
      </c>
      <c r="G9" s="11" t="str">
        <f>IFERROR(VLOOKUP($E9,Спр_Опоры!$B$4:$J$70,3,0),"")</f>
        <v/>
      </c>
      <c r="H9" s="10"/>
      <c r="I9" s="10"/>
      <c r="J9" s="10"/>
      <c r="K9" s="11" t="str">
        <f>IFERROR(VLOOKUP($J9,Спр_Дефекты!$A$4:$F$7,2,0),"")</f>
        <v/>
      </c>
      <c r="L9" s="11" t="str">
        <f>IFERROR(VLOOKUP($J9,Спр_Дефекты!$A$4:$F$7,3,0),"")</f>
        <v/>
      </c>
      <c r="M9" s="11" t="str">
        <f>IFERROR(VLOOKUP($J9,Спр_Дефекты!$A$4:$F$7,4,0),"")</f>
        <v/>
      </c>
      <c r="N9" s="11" t="str">
        <f>IFERROR(VLOOKUP($J9,Спр_Дефекты!$A$4:$F$7,5,0),"")</f>
        <v/>
      </c>
      <c r="O9" s="11" t="str">
        <f>IFERROR(VLOOKUP($J9,Спр_Дефекты!$A$4:$F$7,6,0),"")</f>
        <v/>
      </c>
      <c r="P9" s="10"/>
      <c r="Q9" s="10"/>
      <c r="R9" s="10"/>
      <c r="S9" s="10"/>
      <c r="T9" s="10"/>
      <c r="U9" s="10"/>
      <c r="V9" s="11" t="str">
        <f>IFERROR(VLOOKUP($E9,Спр_Опоры!$B$4:$J$70,9,0),"")</f>
        <v/>
      </c>
      <c r="W9" s="10"/>
    </row>
    <row r="10">
      <c r="A10" s="10"/>
      <c r="B10" s="10"/>
      <c r="C10" s="10"/>
      <c r="D10" s="10"/>
      <c r="E10" s="10"/>
      <c r="F10" s="11" t="str">
        <f>IFERROR(VLOOKUP($E10,Спр_Опоры!$B$4:$J$70,2,0),"")</f>
        <v/>
      </c>
      <c r="G10" s="11" t="str">
        <f>IFERROR(VLOOKUP($E10,Спр_Опоры!$B$4:$J$70,3,0),"")</f>
        <v/>
      </c>
      <c r="H10" s="10"/>
      <c r="I10" s="10"/>
      <c r="J10" s="10"/>
      <c r="K10" s="11" t="str">
        <f>IFERROR(VLOOKUP($J10,Спр_Дефекты!$A$4:$F$7,2,0),"")</f>
        <v/>
      </c>
      <c r="L10" s="11" t="str">
        <f>IFERROR(VLOOKUP($J10,Спр_Дефекты!$A$4:$F$7,3,0),"")</f>
        <v/>
      </c>
      <c r="M10" s="11" t="str">
        <f>IFERROR(VLOOKUP($J10,Спр_Дефекты!$A$4:$F$7,4,0),"")</f>
        <v/>
      </c>
      <c r="N10" s="11" t="str">
        <f>IFERROR(VLOOKUP($J10,Спр_Дефекты!$A$4:$F$7,5,0),"")</f>
        <v/>
      </c>
      <c r="O10" s="11" t="str">
        <f>IFERROR(VLOOKUP($J10,Спр_Дефекты!$A$4:$F$7,6,0),"")</f>
        <v/>
      </c>
      <c r="P10" s="10"/>
      <c r="Q10" s="10"/>
      <c r="R10" s="10"/>
      <c r="S10" s="10"/>
      <c r="T10" s="10"/>
      <c r="U10" s="10"/>
      <c r="V10" s="11" t="str">
        <f>IFERROR(VLOOKUP($E10,Спр_Опоры!$B$4:$J$70,9,0),"")</f>
        <v/>
      </c>
      <c r="W10" s="10"/>
    </row>
    <row r="11">
      <c r="A11" s="10"/>
      <c r="B11" s="10"/>
      <c r="C11" s="10"/>
      <c r="D11" s="10"/>
      <c r="E11" s="10"/>
      <c r="F11" s="11" t="str">
        <f>IFERROR(VLOOKUP($E11,Спр_Опоры!$B$4:$J$70,2,0),"")</f>
        <v/>
      </c>
      <c r="G11" s="11" t="str">
        <f>IFERROR(VLOOKUP($E11,Спр_Опоры!$B$4:$J$70,3,0),"")</f>
        <v/>
      </c>
      <c r="H11" s="10"/>
      <c r="I11" s="10"/>
      <c r="J11" s="10"/>
      <c r="K11" s="11" t="str">
        <f>IFERROR(VLOOKUP($J11,Спр_Дефекты!$A$4:$F$7,2,0),"")</f>
        <v/>
      </c>
      <c r="L11" s="11" t="str">
        <f>IFERROR(VLOOKUP($J11,Спр_Дефекты!$A$4:$F$7,3,0),"")</f>
        <v/>
      </c>
      <c r="M11" s="11" t="str">
        <f>IFERROR(VLOOKUP($J11,Спр_Дефекты!$A$4:$F$7,4,0),"")</f>
        <v/>
      </c>
      <c r="N11" s="11" t="str">
        <f>IFERROR(VLOOKUP($J11,Спр_Дефекты!$A$4:$F$7,5,0),"")</f>
        <v/>
      </c>
      <c r="O11" s="11" t="str">
        <f>IFERROR(VLOOKUP($J11,Спр_Дефекты!$A$4:$F$7,6,0),"")</f>
        <v/>
      </c>
      <c r="P11" s="10"/>
      <c r="Q11" s="10"/>
      <c r="R11" s="10"/>
      <c r="S11" s="10"/>
      <c r="T11" s="10"/>
      <c r="U11" s="10"/>
      <c r="V11" s="11" t="str">
        <f>IFERROR(VLOOKUP($E11,Спр_Опоры!$B$4:$J$70,9,0),"")</f>
        <v/>
      </c>
      <c r="W11" s="10"/>
    </row>
    <row r="12">
      <c r="A12" s="10"/>
      <c r="B12" s="10"/>
      <c r="C12" s="10"/>
      <c r="D12" s="10"/>
      <c r="E12" s="10"/>
      <c r="F12" s="11" t="str">
        <f>IFERROR(VLOOKUP($E12,Спр_Опоры!$B$4:$J$70,2,0),"")</f>
        <v/>
      </c>
      <c r="G12" s="11" t="str">
        <f>IFERROR(VLOOKUP($E12,Спр_Опоры!$B$4:$J$70,3,0),"")</f>
        <v/>
      </c>
      <c r="H12" s="10"/>
      <c r="I12" s="10"/>
      <c r="J12" s="10"/>
      <c r="K12" s="11" t="str">
        <f>IFERROR(VLOOKUP($J12,Спр_Дефекты!$A$4:$F$7,2,0),"")</f>
        <v/>
      </c>
      <c r="L12" s="11" t="str">
        <f>IFERROR(VLOOKUP($J12,Спр_Дефекты!$A$4:$F$7,3,0),"")</f>
        <v/>
      </c>
      <c r="M12" s="11" t="str">
        <f>IFERROR(VLOOKUP($J12,Спр_Дефекты!$A$4:$F$7,4,0),"")</f>
        <v/>
      </c>
      <c r="N12" s="11" t="str">
        <f>IFERROR(VLOOKUP($J12,Спр_Дефекты!$A$4:$F$7,5,0),"")</f>
        <v/>
      </c>
      <c r="O12" s="11" t="str">
        <f>IFERROR(VLOOKUP($J12,Спр_Дефекты!$A$4:$F$7,6,0),"")</f>
        <v/>
      </c>
      <c r="P12" s="10"/>
      <c r="Q12" s="10"/>
      <c r="R12" s="10"/>
      <c r="S12" s="10"/>
      <c r="T12" s="10"/>
      <c r="U12" s="10"/>
      <c r="V12" s="11" t="str">
        <f>IFERROR(VLOOKUP($E12,Спр_Опоры!$B$4:$J$70,9,0),"")</f>
        <v/>
      </c>
      <c r="W12" s="10"/>
    </row>
    <row r="13">
      <c r="A13" s="10"/>
      <c r="B13" s="10"/>
      <c r="C13" s="10"/>
      <c r="D13" s="10"/>
      <c r="E13" s="10"/>
      <c r="F13" s="11" t="str">
        <f>IFERROR(VLOOKUP($E13,Спр_Опоры!$B$4:$J$70,2,0),"")</f>
        <v/>
      </c>
      <c r="G13" s="11" t="str">
        <f>IFERROR(VLOOKUP($E13,Спр_Опоры!$B$4:$J$70,3,0),"")</f>
        <v/>
      </c>
      <c r="H13" s="10"/>
      <c r="I13" s="10"/>
      <c r="J13" s="10"/>
      <c r="K13" s="11" t="str">
        <f>IFERROR(VLOOKUP($J13,Спр_Дефекты!$A$4:$F$7,2,0),"")</f>
        <v/>
      </c>
      <c r="L13" s="11" t="str">
        <f>IFERROR(VLOOKUP($J13,Спр_Дефекты!$A$4:$F$7,3,0),"")</f>
        <v/>
      </c>
      <c r="M13" s="11" t="str">
        <f>IFERROR(VLOOKUP($J13,Спр_Дефекты!$A$4:$F$7,4,0),"")</f>
        <v/>
      </c>
      <c r="N13" s="11" t="str">
        <f>IFERROR(VLOOKUP($J13,Спр_Дефекты!$A$4:$F$7,5,0),"")</f>
        <v/>
      </c>
      <c r="O13" s="11" t="str">
        <f>IFERROR(VLOOKUP($J13,Спр_Дефекты!$A$4:$F$7,6,0),"")</f>
        <v/>
      </c>
      <c r="P13" s="10"/>
      <c r="Q13" s="10"/>
      <c r="R13" s="10"/>
      <c r="S13" s="10"/>
      <c r="T13" s="10"/>
      <c r="U13" s="10"/>
      <c r="V13" s="11" t="str">
        <f>IFERROR(VLOOKUP($E13,Спр_Опоры!$B$4:$J$70,9,0),"")</f>
        <v/>
      </c>
      <c r="W13" s="10"/>
    </row>
    <row r="14">
      <c r="A14" s="10"/>
      <c r="B14" s="10"/>
      <c r="C14" s="10"/>
      <c r="D14" s="10"/>
      <c r="E14" s="10"/>
      <c r="F14" s="11" t="str">
        <f>IFERROR(VLOOKUP($E14,Спр_Опоры!$B$4:$J$70,2,0),"")</f>
        <v/>
      </c>
      <c r="G14" s="11" t="str">
        <f>IFERROR(VLOOKUP($E14,Спр_Опоры!$B$4:$J$70,3,0),"")</f>
        <v/>
      </c>
      <c r="H14" s="10"/>
      <c r="I14" s="10"/>
      <c r="J14" s="10"/>
      <c r="K14" s="11" t="str">
        <f>IFERROR(VLOOKUP($J14,Спр_Дефекты!$A$4:$F$7,2,0),"")</f>
        <v/>
      </c>
      <c r="L14" s="11" t="str">
        <f>IFERROR(VLOOKUP($J14,Спр_Дефекты!$A$4:$F$7,3,0),"")</f>
        <v/>
      </c>
      <c r="M14" s="11" t="str">
        <f>IFERROR(VLOOKUP($J14,Спр_Дефекты!$A$4:$F$7,4,0),"")</f>
        <v/>
      </c>
      <c r="N14" s="11" t="str">
        <f>IFERROR(VLOOKUP($J14,Спр_Дефекты!$A$4:$F$7,5,0),"")</f>
        <v/>
      </c>
      <c r="O14" s="11" t="str">
        <f>IFERROR(VLOOKUP($J14,Спр_Дефекты!$A$4:$F$7,6,0),"")</f>
        <v/>
      </c>
      <c r="P14" s="10"/>
      <c r="Q14" s="10"/>
      <c r="R14" s="10"/>
      <c r="S14" s="10"/>
      <c r="T14" s="10"/>
      <c r="U14" s="10"/>
      <c r="V14" s="11" t="str">
        <f>IFERROR(VLOOKUP($E14,Спр_Опоры!$B$4:$J$70,9,0),"")</f>
        <v/>
      </c>
      <c r="W14" s="10"/>
    </row>
    <row r="15">
      <c r="A15" s="10"/>
      <c r="B15" s="10"/>
      <c r="C15" s="10"/>
      <c r="D15" s="10"/>
      <c r="E15" s="10"/>
      <c r="F15" s="11" t="str">
        <f>IFERROR(VLOOKUP($E15,Спр_Опоры!$B$4:$J$70,2,0),"")</f>
        <v/>
      </c>
      <c r="G15" s="11" t="str">
        <f>IFERROR(VLOOKUP($E15,Спр_Опоры!$B$4:$J$70,3,0),"")</f>
        <v/>
      </c>
      <c r="H15" s="10"/>
      <c r="I15" s="10"/>
      <c r="J15" s="10"/>
      <c r="K15" s="11" t="str">
        <f>IFERROR(VLOOKUP($J15,Спр_Дефекты!$A$4:$F$7,2,0),"")</f>
        <v/>
      </c>
      <c r="L15" s="11" t="str">
        <f>IFERROR(VLOOKUP($J15,Спр_Дефекты!$A$4:$F$7,3,0),"")</f>
        <v/>
      </c>
      <c r="M15" s="11" t="str">
        <f>IFERROR(VLOOKUP($J15,Спр_Дефекты!$A$4:$F$7,4,0),"")</f>
        <v/>
      </c>
      <c r="N15" s="11" t="str">
        <f>IFERROR(VLOOKUP($J15,Спр_Дефекты!$A$4:$F$7,5,0),"")</f>
        <v/>
      </c>
      <c r="O15" s="11" t="str">
        <f>IFERROR(VLOOKUP($J15,Спр_Дефекты!$A$4:$F$7,6,0),"")</f>
        <v/>
      </c>
      <c r="P15" s="10"/>
      <c r="Q15" s="10"/>
      <c r="R15" s="10"/>
      <c r="S15" s="10"/>
      <c r="T15" s="10"/>
      <c r="U15" s="10"/>
      <c r="V15" s="11" t="str">
        <f>IFERROR(VLOOKUP($E15,Спр_Опоры!$B$4:$J$70,9,0),"")</f>
        <v/>
      </c>
      <c r="W15" s="10"/>
    </row>
    <row r="16">
      <c r="A16" s="10"/>
      <c r="B16" s="10"/>
      <c r="C16" s="10"/>
      <c r="D16" s="10"/>
      <c r="E16" s="10"/>
      <c r="F16" s="11" t="str">
        <f>IFERROR(VLOOKUP($E16,Спр_Опоры!$B$4:$J$70,2,0),"")</f>
        <v/>
      </c>
      <c r="G16" s="11" t="str">
        <f>IFERROR(VLOOKUP($E16,Спр_Опоры!$B$4:$J$70,3,0),"")</f>
        <v/>
      </c>
      <c r="H16" s="10"/>
      <c r="I16" s="10"/>
      <c r="J16" s="10"/>
      <c r="K16" s="11" t="str">
        <f>IFERROR(VLOOKUP($J16,Спр_Дефекты!$A$4:$F$7,2,0),"")</f>
        <v/>
      </c>
      <c r="L16" s="11" t="str">
        <f>IFERROR(VLOOKUP($J16,Спр_Дефекты!$A$4:$F$7,3,0),"")</f>
        <v/>
      </c>
      <c r="M16" s="11" t="str">
        <f>IFERROR(VLOOKUP($J16,Спр_Дефекты!$A$4:$F$7,4,0),"")</f>
        <v/>
      </c>
      <c r="N16" s="11" t="str">
        <f>IFERROR(VLOOKUP($J16,Спр_Дефекты!$A$4:$F$7,5,0),"")</f>
        <v/>
      </c>
      <c r="O16" s="11" t="str">
        <f>IFERROR(VLOOKUP($J16,Спр_Дефекты!$A$4:$F$7,6,0),"")</f>
        <v/>
      </c>
      <c r="P16" s="10"/>
      <c r="Q16" s="10"/>
      <c r="R16" s="10"/>
      <c r="S16" s="10"/>
      <c r="T16" s="10"/>
      <c r="U16" s="10"/>
      <c r="V16" s="11" t="str">
        <f>IFERROR(VLOOKUP($E16,Спр_Опоры!$B$4:$J$70,9,0),"")</f>
        <v/>
      </c>
      <c r="W16" s="10"/>
    </row>
    <row r="17">
      <c r="A17" s="10"/>
      <c r="B17" s="10"/>
      <c r="C17" s="10"/>
      <c r="D17" s="10"/>
      <c r="E17" s="10"/>
      <c r="F17" s="11" t="str">
        <f>IFERROR(VLOOKUP($E17,Спр_Опоры!$B$4:$J$70,2,0),"")</f>
        <v/>
      </c>
      <c r="G17" s="11" t="str">
        <f>IFERROR(VLOOKUP($E17,Спр_Опоры!$B$4:$J$70,3,0),"")</f>
        <v/>
      </c>
      <c r="H17" s="10"/>
      <c r="I17" s="10"/>
      <c r="J17" s="10"/>
      <c r="K17" s="11" t="str">
        <f>IFERROR(VLOOKUP($J17,Спр_Дефекты!$A$4:$F$7,2,0),"")</f>
        <v/>
      </c>
      <c r="L17" s="11" t="str">
        <f>IFERROR(VLOOKUP($J17,Спр_Дефекты!$A$4:$F$7,3,0),"")</f>
        <v/>
      </c>
      <c r="M17" s="11" t="str">
        <f>IFERROR(VLOOKUP($J17,Спр_Дефекты!$A$4:$F$7,4,0),"")</f>
        <v/>
      </c>
      <c r="N17" s="11" t="str">
        <f>IFERROR(VLOOKUP($J17,Спр_Дефекты!$A$4:$F$7,5,0),"")</f>
        <v/>
      </c>
      <c r="O17" s="11" t="str">
        <f>IFERROR(VLOOKUP($J17,Спр_Дефекты!$A$4:$F$7,6,0),"")</f>
        <v/>
      </c>
      <c r="P17" s="10"/>
      <c r="Q17" s="10"/>
      <c r="R17" s="10"/>
      <c r="S17" s="10"/>
      <c r="T17" s="10"/>
      <c r="U17" s="10"/>
      <c r="V17" s="11" t="str">
        <f>IFERROR(VLOOKUP($E17,Спр_Опоры!$B$4:$J$70,9,0),"")</f>
        <v/>
      </c>
      <c r="W17" s="10"/>
    </row>
    <row r="18">
      <c r="A18" s="10"/>
      <c r="B18" s="10"/>
      <c r="C18" s="10"/>
      <c r="D18" s="10"/>
      <c r="E18" s="10"/>
      <c r="F18" s="11" t="str">
        <f>IFERROR(VLOOKUP($E18,Спр_Опоры!$B$4:$J$70,2,0),"")</f>
        <v/>
      </c>
      <c r="G18" s="11" t="str">
        <f>IFERROR(VLOOKUP($E18,Спр_Опоры!$B$4:$J$70,3,0),"")</f>
        <v/>
      </c>
      <c r="H18" s="10"/>
      <c r="I18" s="10"/>
      <c r="J18" s="10"/>
      <c r="K18" s="11" t="str">
        <f>IFERROR(VLOOKUP($J18,Спр_Дефекты!$A$4:$F$7,2,0),"")</f>
        <v/>
      </c>
      <c r="L18" s="11" t="str">
        <f>IFERROR(VLOOKUP($J18,Спр_Дефекты!$A$4:$F$7,3,0),"")</f>
        <v/>
      </c>
      <c r="M18" s="11" t="str">
        <f>IFERROR(VLOOKUP($J18,Спр_Дефекты!$A$4:$F$7,4,0),"")</f>
        <v/>
      </c>
      <c r="N18" s="11" t="str">
        <f>IFERROR(VLOOKUP($J18,Спр_Дефекты!$A$4:$F$7,5,0),"")</f>
        <v/>
      </c>
      <c r="O18" s="11" t="str">
        <f>IFERROR(VLOOKUP($J18,Спр_Дефекты!$A$4:$F$7,6,0),"")</f>
        <v/>
      </c>
      <c r="P18" s="10"/>
      <c r="Q18" s="10"/>
      <c r="R18" s="10"/>
      <c r="S18" s="10"/>
      <c r="T18" s="10"/>
      <c r="U18" s="10"/>
      <c r="V18" s="11" t="str">
        <f>IFERROR(VLOOKUP($E18,Спр_Опоры!$B$4:$J$70,9,0),"")</f>
        <v/>
      </c>
      <c r="W18" s="10"/>
    </row>
    <row r="19">
      <c r="A19" s="10"/>
      <c r="B19" s="10"/>
      <c r="C19" s="10"/>
      <c r="D19" s="10"/>
      <c r="E19" s="10"/>
      <c r="F19" s="11" t="str">
        <f>IFERROR(VLOOKUP($E19,Спр_Опоры!$B$4:$J$70,2,0),"")</f>
        <v/>
      </c>
      <c r="G19" s="11" t="str">
        <f>IFERROR(VLOOKUP($E19,Спр_Опоры!$B$4:$J$70,3,0),"")</f>
        <v/>
      </c>
      <c r="H19" s="10"/>
      <c r="I19" s="10"/>
      <c r="J19" s="10"/>
      <c r="K19" s="11" t="str">
        <f>IFERROR(VLOOKUP($J19,Спр_Дефекты!$A$4:$F$7,2,0),"")</f>
        <v/>
      </c>
      <c r="L19" s="11" t="str">
        <f>IFERROR(VLOOKUP($J19,Спр_Дефекты!$A$4:$F$7,3,0),"")</f>
        <v/>
      </c>
      <c r="M19" s="11" t="str">
        <f>IFERROR(VLOOKUP($J19,Спр_Дефекты!$A$4:$F$7,4,0),"")</f>
        <v/>
      </c>
      <c r="N19" s="11" t="str">
        <f>IFERROR(VLOOKUP($J19,Спр_Дефекты!$A$4:$F$7,5,0),"")</f>
        <v/>
      </c>
      <c r="O19" s="11" t="str">
        <f>IFERROR(VLOOKUP($J19,Спр_Дефекты!$A$4:$F$7,6,0),"")</f>
        <v/>
      </c>
      <c r="P19" s="10"/>
      <c r="Q19" s="10"/>
      <c r="R19" s="10"/>
      <c r="S19" s="10"/>
      <c r="T19" s="10"/>
      <c r="U19" s="10"/>
      <c r="V19" s="11" t="str">
        <f>IFERROR(VLOOKUP($E19,Спр_Опоры!$B$4:$J$70,9,0),"")</f>
        <v/>
      </c>
      <c r="W19" s="10"/>
    </row>
    <row r="20">
      <c r="A20" s="10"/>
      <c r="B20" s="10"/>
      <c r="C20" s="10"/>
      <c r="D20" s="10"/>
      <c r="E20" s="10"/>
      <c r="F20" s="11" t="str">
        <f>IFERROR(VLOOKUP($E20,Спр_Опоры!$B$4:$J$70,2,0),"")</f>
        <v/>
      </c>
      <c r="G20" s="11" t="str">
        <f>IFERROR(VLOOKUP($E20,Спр_Опоры!$B$4:$J$70,3,0),"")</f>
        <v/>
      </c>
      <c r="H20" s="10"/>
      <c r="I20" s="10"/>
      <c r="J20" s="10"/>
      <c r="K20" s="11" t="str">
        <f>IFERROR(VLOOKUP($J20,Спр_Дефекты!$A$4:$F$7,2,0),"")</f>
        <v/>
      </c>
      <c r="L20" s="11" t="str">
        <f>IFERROR(VLOOKUP($J20,Спр_Дефекты!$A$4:$F$7,3,0),"")</f>
        <v/>
      </c>
      <c r="M20" s="11" t="str">
        <f>IFERROR(VLOOKUP($J20,Спр_Дефекты!$A$4:$F$7,4,0),"")</f>
        <v/>
      </c>
      <c r="N20" s="11" t="str">
        <f>IFERROR(VLOOKUP($J20,Спр_Дефекты!$A$4:$F$7,5,0),"")</f>
        <v/>
      </c>
      <c r="O20" s="11" t="str">
        <f>IFERROR(VLOOKUP($J20,Спр_Дефекты!$A$4:$F$7,6,0),"")</f>
        <v/>
      </c>
      <c r="P20" s="10"/>
      <c r="Q20" s="10"/>
      <c r="R20" s="10"/>
      <c r="S20" s="10"/>
      <c r="T20" s="10"/>
      <c r="U20" s="10"/>
      <c r="V20" s="11" t="str">
        <f>IFERROR(VLOOKUP($E20,Спр_Опоры!$B$4:$J$70,9,0),"")</f>
        <v/>
      </c>
      <c r="W20" s="10"/>
    </row>
    <row r="21">
      <c r="A21" s="10"/>
      <c r="B21" s="10"/>
      <c r="C21" s="10"/>
      <c r="D21" s="10"/>
      <c r="E21" s="10"/>
      <c r="F21" s="11" t="str">
        <f>IFERROR(VLOOKUP($E21,Спр_Опоры!$B$4:$J$70,2,0),"")</f>
        <v/>
      </c>
      <c r="G21" s="11" t="str">
        <f>IFERROR(VLOOKUP($E21,Спр_Опоры!$B$4:$J$70,3,0),"")</f>
        <v/>
      </c>
      <c r="H21" s="10"/>
      <c r="I21" s="10"/>
      <c r="J21" s="10"/>
      <c r="K21" s="11" t="str">
        <f>IFERROR(VLOOKUP($J21,Спр_Дефекты!$A$4:$F$7,2,0),"")</f>
        <v/>
      </c>
      <c r="L21" s="11" t="str">
        <f>IFERROR(VLOOKUP($J21,Спр_Дефекты!$A$4:$F$7,3,0),"")</f>
        <v/>
      </c>
      <c r="M21" s="11" t="str">
        <f>IFERROR(VLOOKUP($J21,Спр_Дефекты!$A$4:$F$7,4,0),"")</f>
        <v/>
      </c>
      <c r="N21" s="11" t="str">
        <f>IFERROR(VLOOKUP($J21,Спр_Дефекты!$A$4:$F$7,5,0),"")</f>
        <v/>
      </c>
      <c r="O21" s="11" t="str">
        <f>IFERROR(VLOOKUP($J21,Спр_Дефекты!$A$4:$F$7,6,0),"")</f>
        <v/>
      </c>
      <c r="P21" s="10"/>
      <c r="Q21" s="10"/>
      <c r="R21" s="10"/>
      <c r="S21" s="10"/>
      <c r="T21" s="10"/>
      <c r="U21" s="10"/>
      <c r="V21" s="11" t="str">
        <f>IFERROR(VLOOKUP($E21,Спр_Опоры!$B$4:$J$70,9,0),"")</f>
        <v/>
      </c>
      <c r="W21" s="10"/>
    </row>
    <row r="22">
      <c r="A22" s="10"/>
      <c r="B22" s="10"/>
      <c r="C22" s="10"/>
      <c r="D22" s="10"/>
      <c r="E22" s="10"/>
      <c r="F22" s="11" t="str">
        <f>IFERROR(VLOOKUP($E22,Спр_Опоры!$B$4:$J$70,2,0),"")</f>
        <v/>
      </c>
      <c r="G22" s="11" t="str">
        <f>IFERROR(VLOOKUP($E22,Спр_Опоры!$B$4:$J$70,3,0),"")</f>
        <v/>
      </c>
      <c r="H22" s="10"/>
      <c r="I22" s="10"/>
      <c r="J22" s="10"/>
      <c r="K22" s="11" t="str">
        <f>IFERROR(VLOOKUP($J22,Спр_Дефекты!$A$4:$F$7,2,0),"")</f>
        <v/>
      </c>
      <c r="L22" s="11" t="str">
        <f>IFERROR(VLOOKUP($J22,Спр_Дефекты!$A$4:$F$7,3,0),"")</f>
        <v/>
      </c>
      <c r="M22" s="11" t="str">
        <f>IFERROR(VLOOKUP($J22,Спр_Дефекты!$A$4:$F$7,4,0),"")</f>
        <v/>
      </c>
      <c r="N22" s="11" t="str">
        <f>IFERROR(VLOOKUP($J22,Спр_Дефекты!$A$4:$F$7,5,0),"")</f>
        <v/>
      </c>
      <c r="O22" s="11" t="str">
        <f>IFERROR(VLOOKUP($J22,Спр_Дефекты!$A$4:$F$7,6,0),"")</f>
        <v/>
      </c>
      <c r="P22" s="10"/>
      <c r="Q22" s="10"/>
      <c r="R22" s="10"/>
      <c r="S22" s="10"/>
      <c r="T22" s="10"/>
      <c r="U22" s="10"/>
      <c r="V22" s="11" t="str">
        <f>IFERROR(VLOOKUP($E22,Спр_Опоры!$B$4:$J$70,9,0),"")</f>
        <v/>
      </c>
      <c r="W22" s="10"/>
    </row>
    <row r="23">
      <c r="A23" s="10"/>
      <c r="B23" s="10"/>
      <c r="C23" s="10"/>
      <c r="D23" s="10"/>
      <c r="E23" s="10"/>
      <c r="F23" s="11" t="str">
        <f>IFERROR(VLOOKUP($E23,Спр_Опоры!$B$4:$J$70,2,0),"")</f>
        <v/>
      </c>
      <c r="G23" s="11" t="str">
        <f>IFERROR(VLOOKUP($E23,Спр_Опоры!$B$4:$J$70,3,0),"")</f>
        <v/>
      </c>
      <c r="H23" s="10"/>
      <c r="I23" s="10"/>
      <c r="J23" s="10"/>
      <c r="K23" s="11" t="str">
        <f>IFERROR(VLOOKUP($J23,Спр_Дефекты!$A$4:$F$7,2,0),"")</f>
        <v/>
      </c>
      <c r="L23" s="11" t="str">
        <f>IFERROR(VLOOKUP($J23,Спр_Дефекты!$A$4:$F$7,3,0),"")</f>
        <v/>
      </c>
      <c r="M23" s="11" t="str">
        <f>IFERROR(VLOOKUP($J23,Спр_Дефекты!$A$4:$F$7,4,0),"")</f>
        <v/>
      </c>
      <c r="N23" s="11" t="str">
        <f>IFERROR(VLOOKUP($J23,Спр_Дефекты!$A$4:$F$7,5,0),"")</f>
        <v/>
      </c>
      <c r="O23" s="11" t="str">
        <f>IFERROR(VLOOKUP($J23,Спр_Дефекты!$A$4:$F$7,6,0),"")</f>
        <v/>
      </c>
      <c r="P23" s="10"/>
      <c r="Q23" s="10"/>
      <c r="R23" s="10"/>
      <c r="S23" s="10"/>
      <c r="T23" s="10"/>
      <c r="U23" s="10"/>
      <c r="V23" s="11" t="str">
        <f>IFERROR(VLOOKUP($E23,Спр_Опоры!$B$4:$J$70,9,0),"")</f>
        <v/>
      </c>
      <c r="W23" s="10"/>
    </row>
    <row r="24">
      <c r="A24" s="10"/>
      <c r="B24" s="10"/>
      <c r="C24" s="10"/>
      <c r="D24" s="10"/>
      <c r="E24" s="10"/>
      <c r="F24" s="11" t="str">
        <f>IFERROR(VLOOKUP($E24,Спр_Опоры!$B$4:$J$70,2,0),"")</f>
        <v/>
      </c>
      <c r="G24" s="11" t="str">
        <f>IFERROR(VLOOKUP($E24,Спр_Опоры!$B$4:$J$70,3,0),"")</f>
        <v/>
      </c>
      <c r="H24" s="10"/>
      <c r="I24" s="10"/>
      <c r="J24" s="10"/>
      <c r="K24" s="11" t="str">
        <f>IFERROR(VLOOKUP($J24,Спр_Дефекты!$A$4:$F$7,2,0),"")</f>
        <v/>
      </c>
      <c r="L24" s="11" t="str">
        <f>IFERROR(VLOOKUP($J24,Спр_Дефекты!$A$4:$F$7,3,0),"")</f>
        <v/>
      </c>
      <c r="M24" s="11" t="str">
        <f>IFERROR(VLOOKUP($J24,Спр_Дефекты!$A$4:$F$7,4,0),"")</f>
        <v/>
      </c>
      <c r="N24" s="11" t="str">
        <f>IFERROR(VLOOKUP($J24,Спр_Дефекты!$A$4:$F$7,5,0),"")</f>
        <v/>
      </c>
      <c r="O24" s="11" t="str">
        <f>IFERROR(VLOOKUP($J24,Спр_Дефекты!$A$4:$F$7,6,0),"")</f>
        <v/>
      </c>
      <c r="P24" s="10"/>
      <c r="Q24" s="10"/>
      <c r="R24" s="10"/>
      <c r="S24" s="10"/>
      <c r="T24" s="10"/>
      <c r="U24" s="10"/>
      <c r="V24" s="11" t="str">
        <f>IFERROR(VLOOKUP($E24,Спр_Опоры!$B$4:$J$70,9,0),"")</f>
        <v/>
      </c>
      <c r="W24" s="10"/>
    </row>
    <row r="25">
      <c r="A25" s="10"/>
      <c r="B25" s="10"/>
      <c r="C25" s="10"/>
      <c r="D25" s="10"/>
      <c r="E25" s="10"/>
      <c r="F25" s="11" t="str">
        <f>IFERROR(VLOOKUP($E25,Спр_Опоры!$B$4:$J$70,2,0),"")</f>
        <v/>
      </c>
      <c r="G25" s="11" t="str">
        <f>IFERROR(VLOOKUP($E25,Спр_Опоры!$B$4:$J$70,3,0),"")</f>
        <v/>
      </c>
      <c r="H25" s="10"/>
      <c r="I25" s="10"/>
      <c r="J25" s="10"/>
      <c r="K25" s="11" t="str">
        <f>IFERROR(VLOOKUP($J25,Спр_Дефекты!$A$4:$F$7,2,0),"")</f>
        <v/>
      </c>
      <c r="L25" s="11" t="str">
        <f>IFERROR(VLOOKUP($J25,Спр_Дефекты!$A$4:$F$7,3,0),"")</f>
        <v/>
      </c>
      <c r="M25" s="11" t="str">
        <f>IFERROR(VLOOKUP($J25,Спр_Дефекты!$A$4:$F$7,4,0),"")</f>
        <v/>
      </c>
      <c r="N25" s="11" t="str">
        <f>IFERROR(VLOOKUP($J25,Спр_Дефекты!$A$4:$F$7,5,0),"")</f>
        <v/>
      </c>
      <c r="O25" s="11" t="str">
        <f>IFERROR(VLOOKUP($J25,Спр_Дефекты!$A$4:$F$7,6,0),"")</f>
        <v/>
      </c>
      <c r="P25" s="10"/>
      <c r="Q25" s="10"/>
      <c r="R25" s="10"/>
      <c r="S25" s="10"/>
      <c r="T25" s="10"/>
      <c r="U25" s="10"/>
      <c r="V25" s="11" t="str">
        <f>IFERROR(VLOOKUP($E25,Спр_Опоры!$B$4:$J$70,9,0),"")</f>
        <v/>
      </c>
      <c r="W25" s="10"/>
    </row>
    <row r="26">
      <c r="A26" s="10"/>
      <c r="B26" s="10"/>
      <c r="C26" s="10"/>
      <c r="D26" s="10"/>
      <c r="E26" s="10"/>
      <c r="F26" s="11" t="str">
        <f>IFERROR(VLOOKUP($E26,Спр_Опоры!$B$4:$J$70,2,0),"")</f>
        <v/>
      </c>
      <c r="G26" s="11" t="str">
        <f>IFERROR(VLOOKUP($E26,Спр_Опоры!$B$4:$J$70,3,0),"")</f>
        <v/>
      </c>
      <c r="H26" s="10"/>
      <c r="I26" s="10"/>
      <c r="J26" s="10"/>
      <c r="K26" s="11" t="str">
        <f>IFERROR(VLOOKUP($J26,Спр_Дефекты!$A$4:$F$7,2,0),"")</f>
        <v/>
      </c>
      <c r="L26" s="11" t="str">
        <f>IFERROR(VLOOKUP($J26,Спр_Дефекты!$A$4:$F$7,3,0),"")</f>
        <v/>
      </c>
      <c r="M26" s="11" t="str">
        <f>IFERROR(VLOOKUP($J26,Спр_Дефекты!$A$4:$F$7,4,0),"")</f>
        <v/>
      </c>
      <c r="N26" s="11" t="str">
        <f>IFERROR(VLOOKUP($J26,Спр_Дефекты!$A$4:$F$7,5,0),"")</f>
        <v/>
      </c>
      <c r="O26" s="11" t="str">
        <f>IFERROR(VLOOKUP($J26,Спр_Дефекты!$A$4:$F$7,6,0),"")</f>
        <v/>
      </c>
      <c r="P26" s="10"/>
      <c r="Q26" s="10"/>
      <c r="R26" s="10"/>
      <c r="S26" s="10"/>
      <c r="T26" s="10"/>
      <c r="U26" s="10"/>
      <c r="V26" s="11" t="str">
        <f>IFERROR(VLOOKUP($E26,Спр_Опоры!$B$4:$J$70,9,0),"")</f>
        <v/>
      </c>
      <c r="W26" s="10"/>
    </row>
    <row r="27">
      <c r="A27" s="10"/>
      <c r="B27" s="10"/>
      <c r="C27" s="10"/>
      <c r="D27" s="10"/>
      <c r="E27" s="10"/>
      <c r="F27" s="11" t="str">
        <f>IFERROR(VLOOKUP($E27,Спр_Опоры!$B$4:$J$70,2,0),"")</f>
        <v/>
      </c>
      <c r="G27" s="11" t="str">
        <f>IFERROR(VLOOKUP($E27,Спр_Опоры!$B$4:$J$70,3,0),"")</f>
        <v/>
      </c>
      <c r="H27" s="10"/>
      <c r="I27" s="10"/>
      <c r="J27" s="10"/>
      <c r="K27" s="11" t="str">
        <f>IFERROR(VLOOKUP($J27,Спр_Дефекты!$A$4:$F$7,2,0),"")</f>
        <v/>
      </c>
      <c r="L27" s="11" t="str">
        <f>IFERROR(VLOOKUP($J27,Спр_Дефекты!$A$4:$F$7,3,0),"")</f>
        <v/>
      </c>
      <c r="M27" s="11" t="str">
        <f>IFERROR(VLOOKUP($J27,Спр_Дефекты!$A$4:$F$7,4,0),"")</f>
        <v/>
      </c>
      <c r="N27" s="11" t="str">
        <f>IFERROR(VLOOKUP($J27,Спр_Дефекты!$A$4:$F$7,5,0),"")</f>
        <v/>
      </c>
      <c r="O27" s="11" t="str">
        <f>IFERROR(VLOOKUP($J27,Спр_Дефекты!$A$4:$F$7,6,0),"")</f>
        <v/>
      </c>
      <c r="P27" s="10"/>
      <c r="Q27" s="10"/>
      <c r="R27" s="10"/>
      <c r="S27" s="10"/>
      <c r="T27" s="10"/>
      <c r="U27" s="10"/>
      <c r="V27" s="11" t="str">
        <f>IFERROR(VLOOKUP($E27,Спр_Опоры!$B$4:$J$70,9,0),"")</f>
        <v/>
      </c>
      <c r="W27" s="10"/>
    </row>
    <row r="28">
      <c r="A28" s="10"/>
      <c r="B28" s="10"/>
      <c r="C28" s="10"/>
      <c r="D28" s="10"/>
      <c r="E28" s="10"/>
      <c r="F28" s="11" t="str">
        <f>IFERROR(VLOOKUP($E28,Спр_Опоры!$B$4:$J$70,2,0),"")</f>
        <v/>
      </c>
      <c r="G28" s="11" t="str">
        <f>IFERROR(VLOOKUP($E28,Спр_Опоры!$B$4:$J$70,3,0),"")</f>
        <v/>
      </c>
      <c r="H28" s="10"/>
      <c r="I28" s="10"/>
      <c r="J28" s="10"/>
      <c r="K28" s="11" t="str">
        <f>IFERROR(VLOOKUP($J28,Спр_Дефекты!$A$4:$F$7,2,0),"")</f>
        <v/>
      </c>
      <c r="L28" s="11" t="str">
        <f>IFERROR(VLOOKUP($J28,Спр_Дефекты!$A$4:$F$7,3,0),"")</f>
        <v/>
      </c>
      <c r="M28" s="11" t="str">
        <f>IFERROR(VLOOKUP($J28,Спр_Дефекты!$A$4:$F$7,4,0),"")</f>
        <v/>
      </c>
      <c r="N28" s="11" t="str">
        <f>IFERROR(VLOOKUP($J28,Спр_Дефекты!$A$4:$F$7,5,0),"")</f>
        <v/>
      </c>
      <c r="O28" s="11" t="str">
        <f>IFERROR(VLOOKUP($J28,Спр_Дефекты!$A$4:$F$7,6,0),"")</f>
        <v/>
      </c>
      <c r="P28" s="10"/>
      <c r="Q28" s="10"/>
      <c r="R28" s="10"/>
      <c r="S28" s="10"/>
      <c r="T28" s="10"/>
      <c r="U28" s="10"/>
      <c r="V28" s="11" t="str">
        <f>IFERROR(VLOOKUP($E28,Спр_Опоры!$B$4:$J$70,9,0),"")</f>
        <v/>
      </c>
      <c r="W28" s="10"/>
    </row>
    <row r="29">
      <c r="A29" s="10"/>
      <c r="B29" s="10"/>
      <c r="C29" s="10"/>
      <c r="D29" s="10"/>
      <c r="E29" s="10"/>
      <c r="F29" s="11" t="str">
        <f>IFERROR(VLOOKUP($E29,Спр_Опоры!$B$4:$J$70,2,0),"")</f>
        <v/>
      </c>
      <c r="G29" s="11" t="str">
        <f>IFERROR(VLOOKUP($E29,Спр_Опоры!$B$4:$J$70,3,0),"")</f>
        <v/>
      </c>
      <c r="H29" s="10"/>
      <c r="I29" s="10"/>
      <c r="J29" s="10"/>
      <c r="K29" s="11" t="str">
        <f>IFERROR(VLOOKUP($J29,Спр_Дефекты!$A$4:$F$7,2,0),"")</f>
        <v/>
      </c>
      <c r="L29" s="11" t="str">
        <f>IFERROR(VLOOKUP($J29,Спр_Дефекты!$A$4:$F$7,3,0),"")</f>
        <v/>
      </c>
      <c r="M29" s="11" t="str">
        <f>IFERROR(VLOOKUP($J29,Спр_Дефекты!$A$4:$F$7,4,0),"")</f>
        <v/>
      </c>
      <c r="N29" s="11" t="str">
        <f>IFERROR(VLOOKUP($J29,Спр_Дефекты!$A$4:$F$7,5,0),"")</f>
        <v/>
      </c>
      <c r="O29" s="11" t="str">
        <f>IFERROR(VLOOKUP($J29,Спр_Дефекты!$A$4:$F$7,6,0),"")</f>
        <v/>
      </c>
      <c r="P29" s="10"/>
      <c r="Q29" s="10"/>
      <c r="R29" s="10"/>
      <c r="S29" s="10"/>
      <c r="T29" s="10"/>
      <c r="U29" s="10"/>
      <c r="V29" s="11" t="str">
        <f>IFERROR(VLOOKUP($E29,Спр_Опоры!$B$4:$J$70,9,0),"")</f>
        <v/>
      </c>
      <c r="W29" s="10"/>
    </row>
    <row r="30">
      <c r="A30" s="10"/>
      <c r="B30" s="10"/>
      <c r="C30" s="10"/>
      <c r="D30" s="10"/>
      <c r="E30" s="10"/>
      <c r="F30" s="11" t="str">
        <f>IFERROR(VLOOKUP($E30,Спр_Опоры!$B$4:$J$70,2,0),"")</f>
        <v/>
      </c>
      <c r="G30" s="11" t="str">
        <f>IFERROR(VLOOKUP($E30,Спр_Опоры!$B$4:$J$70,3,0),"")</f>
        <v/>
      </c>
      <c r="H30" s="10"/>
      <c r="I30" s="10"/>
      <c r="J30" s="10"/>
      <c r="K30" s="11" t="str">
        <f>IFERROR(VLOOKUP($J30,Спр_Дефекты!$A$4:$F$7,2,0),"")</f>
        <v/>
      </c>
      <c r="L30" s="11" t="str">
        <f>IFERROR(VLOOKUP($J30,Спр_Дефекты!$A$4:$F$7,3,0),"")</f>
        <v/>
      </c>
      <c r="M30" s="11" t="str">
        <f>IFERROR(VLOOKUP($J30,Спр_Дефекты!$A$4:$F$7,4,0),"")</f>
        <v/>
      </c>
      <c r="N30" s="11" t="str">
        <f>IFERROR(VLOOKUP($J30,Спр_Дефекты!$A$4:$F$7,5,0),"")</f>
        <v/>
      </c>
      <c r="O30" s="11" t="str">
        <f>IFERROR(VLOOKUP($J30,Спр_Дефекты!$A$4:$F$7,6,0),"")</f>
        <v/>
      </c>
      <c r="P30" s="10"/>
      <c r="Q30" s="10"/>
      <c r="R30" s="10"/>
      <c r="S30" s="10"/>
      <c r="T30" s="10"/>
      <c r="U30" s="10"/>
      <c r="V30" s="11" t="str">
        <f>IFERROR(VLOOKUP($E30,Спр_Опоры!$B$4:$J$70,9,0),"")</f>
        <v/>
      </c>
      <c r="W30" s="10"/>
    </row>
    <row r="31">
      <c r="A31" s="10"/>
      <c r="B31" s="10"/>
      <c r="C31" s="10"/>
      <c r="D31" s="10"/>
      <c r="E31" s="10"/>
      <c r="F31" s="11" t="str">
        <f>IFERROR(VLOOKUP($E31,Спр_Опоры!$B$4:$J$70,2,0),"")</f>
        <v/>
      </c>
      <c r="G31" s="11" t="str">
        <f>IFERROR(VLOOKUP($E31,Спр_Опоры!$B$4:$J$70,3,0),"")</f>
        <v/>
      </c>
      <c r="H31" s="10"/>
      <c r="I31" s="10"/>
      <c r="J31" s="10"/>
      <c r="K31" s="11" t="str">
        <f>IFERROR(VLOOKUP($J31,Спр_Дефекты!$A$4:$F$7,2,0),"")</f>
        <v/>
      </c>
      <c r="L31" s="11" t="str">
        <f>IFERROR(VLOOKUP($J31,Спр_Дефекты!$A$4:$F$7,3,0),"")</f>
        <v/>
      </c>
      <c r="M31" s="11" t="str">
        <f>IFERROR(VLOOKUP($J31,Спр_Дефекты!$A$4:$F$7,4,0),"")</f>
        <v/>
      </c>
      <c r="N31" s="11" t="str">
        <f>IFERROR(VLOOKUP($J31,Спр_Дефекты!$A$4:$F$7,5,0),"")</f>
        <v/>
      </c>
      <c r="O31" s="11" t="str">
        <f>IFERROR(VLOOKUP($J31,Спр_Дефекты!$A$4:$F$7,6,0),"")</f>
        <v/>
      </c>
      <c r="P31" s="10"/>
      <c r="Q31" s="10"/>
      <c r="R31" s="10"/>
      <c r="S31" s="10"/>
      <c r="T31" s="10"/>
      <c r="U31" s="10"/>
      <c r="V31" s="11" t="str">
        <f>IFERROR(VLOOKUP($E31,Спр_Опоры!$B$4:$J$70,9,0),"")</f>
        <v/>
      </c>
      <c r="W31" s="10"/>
    </row>
    <row r="32">
      <c r="A32" s="10"/>
      <c r="B32" s="10"/>
      <c r="C32" s="10"/>
      <c r="D32" s="10"/>
      <c r="E32" s="10"/>
      <c r="F32" s="11" t="str">
        <f>IFERROR(VLOOKUP($E32,Спр_Опоры!$B$4:$J$70,2,0),"")</f>
        <v/>
      </c>
      <c r="G32" s="11" t="str">
        <f>IFERROR(VLOOKUP($E32,Спр_Опоры!$B$4:$J$70,3,0),"")</f>
        <v/>
      </c>
      <c r="H32" s="10"/>
      <c r="I32" s="10"/>
      <c r="J32" s="10"/>
      <c r="K32" s="11" t="str">
        <f>IFERROR(VLOOKUP($J32,Спр_Дефекты!$A$4:$F$7,2,0),"")</f>
        <v/>
      </c>
      <c r="L32" s="11" t="str">
        <f>IFERROR(VLOOKUP($J32,Спр_Дефекты!$A$4:$F$7,3,0),"")</f>
        <v/>
      </c>
      <c r="M32" s="11" t="str">
        <f>IFERROR(VLOOKUP($J32,Спр_Дефекты!$A$4:$F$7,4,0),"")</f>
        <v/>
      </c>
      <c r="N32" s="11" t="str">
        <f>IFERROR(VLOOKUP($J32,Спр_Дефекты!$A$4:$F$7,5,0),"")</f>
        <v/>
      </c>
      <c r="O32" s="11" t="str">
        <f>IFERROR(VLOOKUP($J32,Спр_Дефекты!$A$4:$F$7,6,0),"")</f>
        <v/>
      </c>
      <c r="P32" s="10"/>
      <c r="Q32" s="10"/>
      <c r="R32" s="10"/>
      <c r="S32" s="10"/>
      <c r="T32" s="10"/>
      <c r="U32" s="10"/>
      <c r="V32" s="11" t="str">
        <f>IFERROR(VLOOKUP($E32,Спр_Опоры!$B$4:$J$70,9,0),"")</f>
        <v/>
      </c>
      <c r="W32" s="10"/>
    </row>
    <row r="33">
      <c r="A33" s="10"/>
      <c r="B33" s="10"/>
      <c r="C33" s="10"/>
      <c r="D33" s="10"/>
      <c r="E33" s="10"/>
      <c r="F33" s="11" t="str">
        <f>IFERROR(VLOOKUP($E33,Спр_Опоры!$B$4:$J$70,2,0),"")</f>
        <v/>
      </c>
      <c r="G33" s="11" t="str">
        <f>IFERROR(VLOOKUP($E33,Спр_Опоры!$B$4:$J$70,3,0),"")</f>
        <v/>
      </c>
      <c r="H33" s="10"/>
      <c r="I33" s="10"/>
      <c r="J33" s="10"/>
      <c r="K33" s="11" t="str">
        <f>IFERROR(VLOOKUP($J33,Спр_Дефекты!$A$4:$F$7,2,0),"")</f>
        <v/>
      </c>
      <c r="L33" s="11" t="str">
        <f>IFERROR(VLOOKUP($J33,Спр_Дефекты!$A$4:$F$7,3,0),"")</f>
        <v/>
      </c>
      <c r="M33" s="11" t="str">
        <f>IFERROR(VLOOKUP($J33,Спр_Дефекты!$A$4:$F$7,4,0),"")</f>
        <v/>
      </c>
      <c r="N33" s="11" t="str">
        <f>IFERROR(VLOOKUP($J33,Спр_Дефекты!$A$4:$F$7,5,0),"")</f>
        <v/>
      </c>
      <c r="O33" s="11" t="str">
        <f>IFERROR(VLOOKUP($J33,Спр_Дефекты!$A$4:$F$7,6,0),"")</f>
        <v/>
      </c>
      <c r="P33" s="10"/>
      <c r="Q33" s="10"/>
      <c r="R33" s="10"/>
      <c r="S33" s="10"/>
      <c r="T33" s="10"/>
      <c r="U33" s="10"/>
      <c r="V33" s="11" t="str">
        <f>IFERROR(VLOOKUP($E33,Спр_Опоры!$B$4:$J$70,9,0),"")</f>
        <v/>
      </c>
      <c r="W33" s="10"/>
    </row>
    <row r="34">
      <c r="A34" s="10"/>
      <c r="B34" s="10"/>
      <c r="C34" s="10"/>
      <c r="D34" s="10"/>
      <c r="E34" s="10"/>
      <c r="F34" s="11" t="str">
        <f>IFERROR(VLOOKUP($E34,Спр_Опоры!$B$4:$J$70,2,0),"")</f>
        <v/>
      </c>
      <c r="G34" s="11" t="str">
        <f>IFERROR(VLOOKUP($E34,Спр_Опоры!$B$4:$J$70,3,0),"")</f>
        <v/>
      </c>
      <c r="H34" s="10"/>
      <c r="I34" s="10"/>
      <c r="J34" s="10"/>
      <c r="K34" s="11" t="str">
        <f>IFERROR(VLOOKUP($J34,Спр_Дефекты!$A$4:$F$7,2,0),"")</f>
        <v/>
      </c>
      <c r="L34" s="11" t="str">
        <f>IFERROR(VLOOKUP($J34,Спр_Дефекты!$A$4:$F$7,3,0),"")</f>
        <v/>
      </c>
      <c r="M34" s="11" t="str">
        <f>IFERROR(VLOOKUP($J34,Спр_Дефекты!$A$4:$F$7,4,0),"")</f>
        <v/>
      </c>
      <c r="N34" s="11" t="str">
        <f>IFERROR(VLOOKUP($J34,Спр_Дефекты!$A$4:$F$7,5,0),"")</f>
        <v/>
      </c>
      <c r="O34" s="11" t="str">
        <f>IFERROR(VLOOKUP($J34,Спр_Дефекты!$A$4:$F$7,6,0),"")</f>
        <v/>
      </c>
      <c r="P34" s="10"/>
      <c r="Q34" s="10"/>
      <c r="R34" s="10"/>
      <c r="S34" s="10"/>
      <c r="T34" s="10"/>
      <c r="U34" s="10"/>
      <c r="V34" s="11" t="str">
        <f>IFERROR(VLOOKUP($E34,Спр_Опоры!$B$4:$J$70,9,0),"")</f>
        <v/>
      </c>
      <c r="W34" s="10"/>
    </row>
    <row r="35">
      <c r="A35" s="10"/>
      <c r="B35" s="10"/>
      <c r="C35" s="10"/>
      <c r="D35" s="10"/>
      <c r="E35" s="10"/>
      <c r="F35" s="11" t="str">
        <f>IFERROR(VLOOKUP($E35,Спр_Опоры!$B$4:$J$70,2,0),"")</f>
        <v/>
      </c>
      <c r="G35" s="11" t="str">
        <f>IFERROR(VLOOKUP($E35,Спр_Опоры!$B$4:$J$70,3,0),"")</f>
        <v/>
      </c>
      <c r="H35" s="10"/>
      <c r="I35" s="10"/>
      <c r="J35" s="10"/>
      <c r="K35" s="11" t="str">
        <f>IFERROR(VLOOKUP($J35,Спр_Дефекты!$A$4:$F$7,2,0),"")</f>
        <v/>
      </c>
      <c r="L35" s="11" t="str">
        <f>IFERROR(VLOOKUP($J35,Спр_Дефекты!$A$4:$F$7,3,0),"")</f>
        <v/>
      </c>
      <c r="M35" s="11" t="str">
        <f>IFERROR(VLOOKUP($J35,Спр_Дефекты!$A$4:$F$7,4,0),"")</f>
        <v/>
      </c>
      <c r="N35" s="11" t="str">
        <f>IFERROR(VLOOKUP($J35,Спр_Дефекты!$A$4:$F$7,5,0),"")</f>
        <v/>
      </c>
      <c r="O35" s="11" t="str">
        <f>IFERROR(VLOOKUP($J35,Спр_Дефекты!$A$4:$F$7,6,0),"")</f>
        <v/>
      </c>
      <c r="P35" s="10"/>
      <c r="Q35" s="10"/>
      <c r="R35" s="10"/>
      <c r="S35" s="10"/>
      <c r="T35" s="10"/>
      <c r="U35" s="10"/>
      <c r="V35" s="11" t="str">
        <f>IFERROR(VLOOKUP($E35,Спр_Опоры!$B$4:$J$70,9,0),"")</f>
        <v/>
      </c>
      <c r="W35" s="10"/>
    </row>
    <row r="36">
      <c r="A36" s="10"/>
      <c r="B36" s="10"/>
      <c r="C36" s="10"/>
      <c r="D36" s="10"/>
      <c r="E36" s="10"/>
      <c r="F36" s="11" t="str">
        <f>IFERROR(VLOOKUP($E36,Спр_Опоры!$B$4:$J$70,2,0),"")</f>
        <v/>
      </c>
      <c r="G36" s="11" t="str">
        <f>IFERROR(VLOOKUP($E36,Спр_Опоры!$B$4:$J$70,3,0),"")</f>
        <v/>
      </c>
      <c r="H36" s="10"/>
      <c r="I36" s="10"/>
      <c r="J36" s="10"/>
      <c r="K36" s="11" t="str">
        <f>IFERROR(VLOOKUP($J36,Спр_Дефекты!$A$4:$F$7,2,0),"")</f>
        <v/>
      </c>
      <c r="L36" s="11" t="str">
        <f>IFERROR(VLOOKUP($J36,Спр_Дефекты!$A$4:$F$7,3,0),"")</f>
        <v/>
      </c>
      <c r="M36" s="11" t="str">
        <f>IFERROR(VLOOKUP($J36,Спр_Дефекты!$A$4:$F$7,4,0),"")</f>
        <v/>
      </c>
      <c r="N36" s="11" t="str">
        <f>IFERROR(VLOOKUP($J36,Спр_Дефекты!$A$4:$F$7,5,0),"")</f>
        <v/>
      </c>
      <c r="O36" s="11" t="str">
        <f>IFERROR(VLOOKUP($J36,Спр_Дефекты!$A$4:$F$7,6,0),"")</f>
        <v/>
      </c>
      <c r="P36" s="10"/>
      <c r="Q36" s="10"/>
      <c r="R36" s="10"/>
      <c r="S36" s="10"/>
      <c r="T36" s="10"/>
      <c r="U36" s="10"/>
      <c r="V36" s="11" t="str">
        <f>IFERROR(VLOOKUP($E36,Спр_Опоры!$B$4:$J$70,9,0),"")</f>
        <v/>
      </c>
      <c r="W36" s="10"/>
    </row>
    <row r="37">
      <c r="A37" s="10"/>
      <c r="B37" s="10"/>
      <c r="C37" s="10"/>
      <c r="D37" s="10"/>
      <c r="E37" s="10"/>
      <c r="F37" s="11" t="str">
        <f>IFERROR(VLOOKUP($E37,Спр_Опоры!$B$4:$J$70,2,0),"")</f>
        <v/>
      </c>
      <c r="G37" s="11" t="str">
        <f>IFERROR(VLOOKUP($E37,Спр_Опоры!$B$4:$J$70,3,0),"")</f>
        <v/>
      </c>
      <c r="H37" s="10"/>
      <c r="I37" s="10"/>
      <c r="J37" s="10"/>
      <c r="K37" s="11" t="str">
        <f>IFERROR(VLOOKUP($J37,Спр_Дефекты!$A$4:$F$7,2,0),"")</f>
        <v/>
      </c>
      <c r="L37" s="11" t="str">
        <f>IFERROR(VLOOKUP($J37,Спр_Дефекты!$A$4:$F$7,3,0),"")</f>
        <v/>
      </c>
      <c r="M37" s="11" t="str">
        <f>IFERROR(VLOOKUP($J37,Спр_Дефекты!$A$4:$F$7,4,0),"")</f>
        <v/>
      </c>
      <c r="N37" s="11" t="str">
        <f>IFERROR(VLOOKUP($J37,Спр_Дефекты!$A$4:$F$7,5,0),"")</f>
        <v/>
      </c>
      <c r="O37" s="11" t="str">
        <f>IFERROR(VLOOKUP($J37,Спр_Дефекты!$A$4:$F$7,6,0),"")</f>
        <v/>
      </c>
      <c r="P37" s="10"/>
      <c r="Q37" s="10"/>
      <c r="R37" s="10"/>
      <c r="S37" s="10"/>
      <c r="T37" s="10"/>
      <c r="U37" s="10"/>
      <c r="V37" s="11" t="str">
        <f>IFERROR(VLOOKUP($E37,Спр_Опоры!$B$4:$J$70,9,0),"")</f>
        <v/>
      </c>
      <c r="W37" s="10"/>
    </row>
    <row r="38">
      <c r="A38" s="10"/>
      <c r="B38" s="10"/>
      <c r="C38" s="10"/>
      <c r="D38" s="10"/>
      <c r="E38" s="10"/>
      <c r="F38" s="11" t="str">
        <f>IFERROR(VLOOKUP($E38,Спр_Опоры!$B$4:$J$70,2,0),"")</f>
        <v/>
      </c>
      <c r="G38" s="11" t="str">
        <f>IFERROR(VLOOKUP($E38,Спр_Опоры!$B$4:$J$70,3,0),"")</f>
        <v/>
      </c>
      <c r="H38" s="10"/>
      <c r="I38" s="10"/>
      <c r="J38" s="10"/>
      <c r="K38" s="11" t="str">
        <f>IFERROR(VLOOKUP($J38,Спр_Дефекты!$A$4:$F$7,2,0),"")</f>
        <v/>
      </c>
      <c r="L38" s="11" t="str">
        <f>IFERROR(VLOOKUP($J38,Спр_Дефекты!$A$4:$F$7,3,0),"")</f>
        <v/>
      </c>
      <c r="M38" s="11" t="str">
        <f>IFERROR(VLOOKUP($J38,Спр_Дефекты!$A$4:$F$7,4,0),"")</f>
        <v/>
      </c>
      <c r="N38" s="11" t="str">
        <f>IFERROR(VLOOKUP($J38,Спр_Дефекты!$A$4:$F$7,5,0),"")</f>
        <v/>
      </c>
      <c r="O38" s="11" t="str">
        <f>IFERROR(VLOOKUP($J38,Спр_Дефекты!$A$4:$F$7,6,0),"")</f>
        <v/>
      </c>
      <c r="P38" s="10"/>
      <c r="Q38" s="10"/>
      <c r="R38" s="10"/>
      <c r="S38" s="10"/>
      <c r="T38" s="10"/>
      <c r="U38" s="10"/>
      <c r="V38" s="11" t="str">
        <f>IFERROR(VLOOKUP($E38,Спр_Опоры!$B$4:$J$70,9,0),"")</f>
        <v/>
      </c>
      <c r="W38" s="10"/>
    </row>
    <row r="39">
      <c r="A39" s="10"/>
      <c r="B39" s="10"/>
      <c r="C39" s="10"/>
      <c r="D39" s="10"/>
      <c r="E39" s="10"/>
      <c r="F39" s="11" t="str">
        <f>IFERROR(VLOOKUP($E39,Спр_Опоры!$B$4:$J$70,2,0),"")</f>
        <v/>
      </c>
      <c r="G39" s="11" t="str">
        <f>IFERROR(VLOOKUP($E39,Спр_Опоры!$B$4:$J$70,3,0),"")</f>
        <v/>
      </c>
      <c r="H39" s="10"/>
      <c r="I39" s="10"/>
      <c r="J39" s="10"/>
      <c r="K39" s="11" t="str">
        <f>IFERROR(VLOOKUP($J39,Спр_Дефекты!$A$4:$F$7,2,0),"")</f>
        <v/>
      </c>
      <c r="L39" s="11" t="str">
        <f>IFERROR(VLOOKUP($J39,Спр_Дефекты!$A$4:$F$7,3,0),"")</f>
        <v/>
      </c>
      <c r="M39" s="11" t="str">
        <f>IFERROR(VLOOKUP($J39,Спр_Дефекты!$A$4:$F$7,4,0),"")</f>
        <v/>
      </c>
      <c r="N39" s="11" t="str">
        <f>IFERROR(VLOOKUP($J39,Спр_Дефекты!$A$4:$F$7,5,0),"")</f>
        <v/>
      </c>
      <c r="O39" s="11" t="str">
        <f>IFERROR(VLOOKUP($J39,Спр_Дефекты!$A$4:$F$7,6,0),"")</f>
        <v/>
      </c>
      <c r="P39" s="10"/>
      <c r="Q39" s="10"/>
      <c r="R39" s="10"/>
      <c r="S39" s="10"/>
      <c r="T39" s="10"/>
      <c r="U39" s="10"/>
      <c r="V39" s="11" t="str">
        <f>IFERROR(VLOOKUP($E39,Спр_Опоры!$B$4:$J$70,9,0),"")</f>
        <v/>
      </c>
      <c r="W39" s="10"/>
    </row>
    <row r="40">
      <c r="A40" s="10"/>
      <c r="B40" s="10"/>
      <c r="C40" s="10"/>
      <c r="D40" s="10"/>
      <c r="E40" s="10"/>
      <c r="F40" s="11" t="str">
        <f>IFERROR(VLOOKUP($E40,Спр_Опоры!$B$4:$J$70,2,0),"")</f>
        <v/>
      </c>
      <c r="G40" s="11" t="str">
        <f>IFERROR(VLOOKUP($E40,Спр_Опоры!$B$4:$J$70,3,0),"")</f>
        <v/>
      </c>
      <c r="H40" s="10"/>
      <c r="I40" s="10"/>
      <c r="J40" s="10"/>
      <c r="K40" s="11" t="str">
        <f>IFERROR(VLOOKUP($J40,Спр_Дефекты!$A$4:$F$7,2,0),"")</f>
        <v/>
      </c>
      <c r="L40" s="11" t="str">
        <f>IFERROR(VLOOKUP($J40,Спр_Дефекты!$A$4:$F$7,3,0),"")</f>
        <v/>
      </c>
      <c r="M40" s="11" t="str">
        <f>IFERROR(VLOOKUP($J40,Спр_Дефекты!$A$4:$F$7,4,0),"")</f>
        <v/>
      </c>
      <c r="N40" s="11" t="str">
        <f>IFERROR(VLOOKUP($J40,Спр_Дефекты!$A$4:$F$7,5,0),"")</f>
        <v/>
      </c>
      <c r="O40" s="11" t="str">
        <f>IFERROR(VLOOKUP($J40,Спр_Дефекты!$A$4:$F$7,6,0),"")</f>
        <v/>
      </c>
      <c r="P40" s="10"/>
      <c r="Q40" s="10"/>
      <c r="R40" s="10"/>
      <c r="S40" s="10"/>
      <c r="T40" s="10"/>
      <c r="U40" s="10"/>
      <c r="V40" s="11" t="str">
        <f>IFERROR(VLOOKUP($E40,Спр_Опоры!$B$4:$J$70,9,0),"")</f>
        <v/>
      </c>
      <c r="W40" s="10"/>
    </row>
    <row r="41">
      <c r="A41" s="10"/>
      <c r="B41" s="10"/>
      <c r="C41" s="10"/>
      <c r="D41" s="10"/>
      <c r="E41" s="10"/>
      <c r="F41" s="11" t="str">
        <f>IFERROR(VLOOKUP($E41,Спр_Опоры!$B$4:$J$70,2,0),"")</f>
        <v/>
      </c>
      <c r="G41" s="11" t="str">
        <f>IFERROR(VLOOKUP($E41,Спр_Опоры!$B$4:$J$70,3,0),"")</f>
        <v/>
      </c>
      <c r="H41" s="10"/>
      <c r="I41" s="10"/>
      <c r="J41" s="10"/>
      <c r="K41" s="11" t="str">
        <f>IFERROR(VLOOKUP($J41,Спр_Дефекты!$A$4:$F$7,2,0),"")</f>
        <v/>
      </c>
      <c r="L41" s="11" t="str">
        <f>IFERROR(VLOOKUP($J41,Спр_Дефекты!$A$4:$F$7,3,0),"")</f>
        <v/>
      </c>
      <c r="M41" s="11" t="str">
        <f>IFERROR(VLOOKUP($J41,Спр_Дефекты!$A$4:$F$7,4,0),"")</f>
        <v/>
      </c>
      <c r="N41" s="11" t="str">
        <f>IFERROR(VLOOKUP($J41,Спр_Дефекты!$A$4:$F$7,5,0),"")</f>
        <v/>
      </c>
      <c r="O41" s="11" t="str">
        <f>IFERROR(VLOOKUP($J41,Спр_Дефекты!$A$4:$F$7,6,0),"")</f>
        <v/>
      </c>
      <c r="P41" s="10"/>
      <c r="Q41" s="10"/>
      <c r="R41" s="10"/>
      <c r="S41" s="10"/>
      <c r="T41" s="10"/>
      <c r="U41" s="10"/>
      <c r="V41" s="11" t="str">
        <f>IFERROR(VLOOKUP($E41,Спр_Опоры!$B$4:$J$70,9,0),"")</f>
        <v/>
      </c>
      <c r="W41" s="10"/>
    </row>
    <row r="42">
      <c r="A42" s="10"/>
      <c r="B42" s="10"/>
      <c r="C42" s="10"/>
      <c r="D42" s="10"/>
      <c r="E42" s="10"/>
      <c r="F42" s="11" t="str">
        <f>IFERROR(VLOOKUP($E42,Спр_Опоры!$B$4:$J$70,2,0),"")</f>
        <v/>
      </c>
      <c r="G42" s="11" t="str">
        <f>IFERROR(VLOOKUP($E42,Спр_Опоры!$B$4:$J$70,3,0),"")</f>
        <v/>
      </c>
      <c r="H42" s="10"/>
      <c r="I42" s="10"/>
      <c r="J42" s="10"/>
      <c r="K42" s="11" t="str">
        <f>IFERROR(VLOOKUP($J42,Спр_Дефекты!$A$4:$F$7,2,0),"")</f>
        <v/>
      </c>
      <c r="L42" s="11" t="str">
        <f>IFERROR(VLOOKUP($J42,Спр_Дефекты!$A$4:$F$7,3,0),"")</f>
        <v/>
      </c>
      <c r="M42" s="11" t="str">
        <f>IFERROR(VLOOKUP($J42,Спр_Дефекты!$A$4:$F$7,4,0),"")</f>
        <v/>
      </c>
      <c r="N42" s="11" t="str">
        <f>IFERROR(VLOOKUP($J42,Спр_Дефекты!$A$4:$F$7,5,0),"")</f>
        <v/>
      </c>
      <c r="O42" s="11" t="str">
        <f>IFERROR(VLOOKUP($J42,Спр_Дефекты!$A$4:$F$7,6,0),"")</f>
        <v/>
      </c>
      <c r="P42" s="10"/>
      <c r="Q42" s="10"/>
      <c r="R42" s="10"/>
      <c r="S42" s="10"/>
      <c r="T42" s="10"/>
      <c r="U42" s="10"/>
      <c r="V42" s="11" t="str">
        <f>IFERROR(VLOOKUP($E42,Спр_Опоры!$B$4:$J$70,9,0),"")</f>
        <v/>
      </c>
      <c r="W42" s="10"/>
    </row>
    <row r="43">
      <c r="A43" s="10"/>
      <c r="B43" s="10"/>
      <c r="C43" s="10"/>
      <c r="D43" s="10"/>
      <c r="E43" s="10"/>
      <c r="F43" s="11" t="str">
        <f>IFERROR(VLOOKUP($E43,Спр_Опоры!$B$4:$J$70,2,0),"")</f>
        <v/>
      </c>
      <c r="G43" s="11" t="str">
        <f>IFERROR(VLOOKUP($E43,Спр_Опоры!$B$4:$J$70,3,0),"")</f>
        <v/>
      </c>
      <c r="H43" s="10"/>
      <c r="I43" s="10"/>
      <c r="J43" s="10"/>
      <c r="K43" s="11" t="str">
        <f>IFERROR(VLOOKUP($J43,Спр_Дефекты!$A$4:$F$7,2,0),"")</f>
        <v/>
      </c>
      <c r="L43" s="11" t="str">
        <f>IFERROR(VLOOKUP($J43,Спр_Дефекты!$A$4:$F$7,3,0),"")</f>
        <v/>
      </c>
      <c r="M43" s="11" t="str">
        <f>IFERROR(VLOOKUP($J43,Спр_Дефекты!$A$4:$F$7,4,0),"")</f>
        <v/>
      </c>
      <c r="N43" s="11" t="str">
        <f>IFERROR(VLOOKUP($J43,Спр_Дефекты!$A$4:$F$7,5,0),"")</f>
        <v/>
      </c>
      <c r="O43" s="11" t="str">
        <f>IFERROR(VLOOKUP($J43,Спр_Дефекты!$A$4:$F$7,6,0),"")</f>
        <v/>
      </c>
      <c r="P43" s="10"/>
      <c r="Q43" s="10"/>
      <c r="R43" s="10"/>
      <c r="S43" s="10"/>
      <c r="T43" s="10"/>
      <c r="U43" s="10"/>
      <c r="V43" s="11" t="str">
        <f>IFERROR(VLOOKUP($E43,Спр_Опоры!$B$4:$J$70,9,0),"")</f>
        <v/>
      </c>
      <c r="W43" s="10"/>
    </row>
    <row r="44">
      <c r="A44" s="10"/>
      <c r="B44" s="10"/>
      <c r="C44" s="10"/>
      <c r="D44" s="10"/>
      <c r="E44" s="10"/>
      <c r="F44" s="11" t="str">
        <f>IFERROR(VLOOKUP($E44,Спр_Опоры!$B$4:$J$70,2,0),"")</f>
        <v/>
      </c>
      <c r="G44" s="11" t="str">
        <f>IFERROR(VLOOKUP($E44,Спр_Опоры!$B$4:$J$70,3,0),"")</f>
        <v/>
      </c>
      <c r="H44" s="10"/>
      <c r="I44" s="10"/>
      <c r="J44" s="10"/>
      <c r="K44" s="11" t="str">
        <f>IFERROR(VLOOKUP($J44,Спр_Дефекты!$A$4:$F$7,2,0),"")</f>
        <v/>
      </c>
      <c r="L44" s="11" t="str">
        <f>IFERROR(VLOOKUP($J44,Спр_Дефекты!$A$4:$F$7,3,0),"")</f>
        <v/>
      </c>
      <c r="M44" s="11" t="str">
        <f>IFERROR(VLOOKUP($J44,Спр_Дефекты!$A$4:$F$7,4,0),"")</f>
        <v/>
      </c>
      <c r="N44" s="11" t="str">
        <f>IFERROR(VLOOKUP($J44,Спр_Дефекты!$A$4:$F$7,5,0),"")</f>
        <v/>
      </c>
      <c r="O44" s="11" t="str">
        <f>IFERROR(VLOOKUP($J44,Спр_Дефекты!$A$4:$F$7,6,0),"")</f>
        <v/>
      </c>
      <c r="P44" s="10"/>
      <c r="Q44" s="10"/>
      <c r="R44" s="10"/>
      <c r="S44" s="10"/>
      <c r="T44" s="10"/>
      <c r="U44" s="10"/>
      <c r="V44" s="11" t="str">
        <f>IFERROR(VLOOKUP($E44,Спр_Опоры!$B$4:$J$70,9,0),"")</f>
        <v/>
      </c>
      <c r="W44" s="10"/>
    </row>
    <row r="45">
      <c r="A45" s="10"/>
      <c r="B45" s="10"/>
      <c r="C45" s="10"/>
      <c r="D45" s="10"/>
      <c r="E45" s="10"/>
      <c r="F45" s="11" t="str">
        <f>IFERROR(VLOOKUP($E45,Спр_Опоры!$B$4:$J$70,2,0),"")</f>
        <v/>
      </c>
      <c r="G45" s="11" t="str">
        <f>IFERROR(VLOOKUP($E45,Спр_Опоры!$B$4:$J$70,3,0),"")</f>
        <v/>
      </c>
      <c r="H45" s="10"/>
      <c r="I45" s="10"/>
      <c r="J45" s="10"/>
      <c r="K45" s="11" t="str">
        <f>IFERROR(VLOOKUP($J45,Спр_Дефекты!$A$4:$F$7,2,0),"")</f>
        <v/>
      </c>
      <c r="L45" s="11" t="str">
        <f>IFERROR(VLOOKUP($J45,Спр_Дефекты!$A$4:$F$7,3,0),"")</f>
        <v/>
      </c>
      <c r="M45" s="11" t="str">
        <f>IFERROR(VLOOKUP($J45,Спр_Дефекты!$A$4:$F$7,4,0),"")</f>
        <v/>
      </c>
      <c r="N45" s="11" t="str">
        <f>IFERROR(VLOOKUP($J45,Спр_Дефекты!$A$4:$F$7,5,0),"")</f>
        <v/>
      </c>
      <c r="O45" s="11" t="str">
        <f>IFERROR(VLOOKUP($J45,Спр_Дефекты!$A$4:$F$7,6,0),"")</f>
        <v/>
      </c>
      <c r="P45" s="10"/>
      <c r="Q45" s="10"/>
      <c r="R45" s="10"/>
      <c r="S45" s="10"/>
      <c r="T45" s="10"/>
      <c r="U45" s="10"/>
      <c r="V45" s="11" t="str">
        <f>IFERROR(VLOOKUP($E45,Спр_Опоры!$B$4:$J$70,9,0),"")</f>
        <v/>
      </c>
      <c r="W45" s="10"/>
    </row>
    <row r="46">
      <c r="A46" s="10"/>
      <c r="B46" s="10"/>
      <c r="C46" s="10"/>
      <c r="D46" s="10"/>
      <c r="E46" s="10"/>
      <c r="F46" s="11" t="str">
        <f>IFERROR(VLOOKUP($E46,Спр_Опоры!$B$4:$J$70,2,0),"")</f>
        <v/>
      </c>
      <c r="G46" s="11" t="str">
        <f>IFERROR(VLOOKUP($E46,Спр_Опоры!$B$4:$J$70,3,0),"")</f>
        <v/>
      </c>
      <c r="H46" s="10"/>
      <c r="I46" s="10"/>
      <c r="J46" s="10"/>
      <c r="K46" s="11" t="str">
        <f>IFERROR(VLOOKUP($J46,Спр_Дефекты!$A$4:$F$7,2,0),"")</f>
        <v/>
      </c>
      <c r="L46" s="11" t="str">
        <f>IFERROR(VLOOKUP($J46,Спр_Дефекты!$A$4:$F$7,3,0),"")</f>
        <v/>
      </c>
      <c r="M46" s="11" t="str">
        <f>IFERROR(VLOOKUP($J46,Спр_Дефекты!$A$4:$F$7,4,0),"")</f>
        <v/>
      </c>
      <c r="N46" s="11" t="str">
        <f>IFERROR(VLOOKUP($J46,Спр_Дефекты!$A$4:$F$7,5,0),"")</f>
        <v/>
      </c>
      <c r="O46" s="11" t="str">
        <f>IFERROR(VLOOKUP($J46,Спр_Дефекты!$A$4:$F$7,6,0),"")</f>
        <v/>
      </c>
      <c r="P46" s="10"/>
      <c r="Q46" s="10"/>
      <c r="R46" s="10"/>
      <c r="S46" s="10"/>
      <c r="T46" s="10"/>
      <c r="U46" s="10"/>
      <c r="V46" s="11" t="str">
        <f>IFERROR(VLOOKUP($E46,Спр_Опоры!$B$4:$J$70,9,0),"")</f>
        <v/>
      </c>
      <c r="W46" s="10"/>
    </row>
    <row r="47">
      <c r="A47" s="10"/>
      <c r="B47" s="10"/>
      <c r="C47" s="10"/>
      <c r="D47" s="10"/>
      <c r="E47" s="10"/>
      <c r="F47" s="11" t="str">
        <f>IFERROR(VLOOKUP($E47,Спр_Опоры!$B$4:$J$70,2,0),"")</f>
        <v/>
      </c>
      <c r="G47" s="11" t="str">
        <f>IFERROR(VLOOKUP($E47,Спр_Опоры!$B$4:$J$70,3,0),"")</f>
        <v/>
      </c>
      <c r="H47" s="10"/>
      <c r="I47" s="10"/>
      <c r="J47" s="10"/>
      <c r="K47" s="11" t="str">
        <f>IFERROR(VLOOKUP($J47,Спр_Дефекты!$A$4:$F$7,2,0),"")</f>
        <v/>
      </c>
      <c r="L47" s="11" t="str">
        <f>IFERROR(VLOOKUP($J47,Спр_Дефекты!$A$4:$F$7,3,0),"")</f>
        <v/>
      </c>
      <c r="M47" s="11" t="str">
        <f>IFERROR(VLOOKUP($J47,Спр_Дефекты!$A$4:$F$7,4,0),"")</f>
        <v/>
      </c>
      <c r="N47" s="11" t="str">
        <f>IFERROR(VLOOKUP($J47,Спр_Дефекты!$A$4:$F$7,5,0),"")</f>
        <v/>
      </c>
      <c r="O47" s="11" t="str">
        <f>IFERROR(VLOOKUP($J47,Спр_Дефекты!$A$4:$F$7,6,0),"")</f>
        <v/>
      </c>
      <c r="P47" s="10"/>
      <c r="Q47" s="10"/>
      <c r="R47" s="10"/>
      <c r="S47" s="10"/>
      <c r="T47" s="10"/>
      <c r="U47" s="10"/>
      <c r="V47" s="11" t="str">
        <f>IFERROR(VLOOKUP($E47,Спр_Опоры!$B$4:$J$70,9,0),"")</f>
        <v/>
      </c>
      <c r="W47" s="10"/>
    </row>
    <row r="48">
      <c r="A48" s="10"/>
      <c r="B48" s="10"/>
      <c r="C48" s="10"/>
      <c r="D48" s="10"/>
      <c r="E48" s="10"/>
      <c r="F48" s="11" t="str">
        <f>IFERROR(VLOOKUP($E48,Спр_Опоры!$B$4:$J$70,2,0),"")</f>
        <v/>
      </c>
      <c r="G48" s="11" t="str">
        <f>IFERROR(VLOOKUP($E48,Спр_Опоры!$B$4:$J$70,3,0),"")</f>
        <v/>
      </c>
      <c r="H48" s="10"/>
      <c r="I48" s="10"/>
      <c r="J48" s="10"/>
      <c r="K48" s="11" t="str">
        <f>IFERROR(VLOOKUP($J48,Спр_Дефекты!$A$4:$F$7,2,0),"")</f>
        <v/>
      </c>
      <c r="L48" s="11" t="str">
        <f>IFERROR(VLOOKUP($J48,Спр_Дефекты!$A$4:$F$7,3,0),"")</f>
        <v/>
      </c>
      <c r="M48" s="11" t="str">
        <f>IFERROR(VLOOKUP($J48,Спр_Дефекты!$A$4:$F$7,4,0),"")</f>
        <v/>
      </c>
      <c r="N48" s="11" t="str">
        <f>IFERROR(VLOOKUP($J48,Спр_Дефекты!$A$4:$F$7,5,0),"")</f>
        <v/>
      </c>
      <c r="O48" s="11" t="str">
        <f>IFERROR(VLOOKUP($J48,Спр_Дефекты!$A$4:$F$7,6,0),"")</f>
        <v/>
      </c>
      <c r="P48" s="10"/>
      <c r="Q48" s="10"/>
      <c r="R48" s="10"/>
      <c r="S48" s="10"/>
      <c r="T48" s="10"/>
      <c r="U48" s="10"/>
      <c r="V48" s="11" t="str">
        <f>IFERROR(VLOOKUP($E48,Спр_Опоры!$B$4:$J$70,9,0),"")</f>
        <v/>
      </c>
      <c r="W48" s="10"/>
    </row>
    <row r="49">
      <c r="A49" s="10"/>
      <c r="B49" s="10"/>
      <c r="C49" s="10"/>
      <c r="D49" s="10"/>
      <c r="E49" s="10"/>
      <c r="F49" s="11" t="str">
        <f>IFERROR(VLOOKUP($E49,Спр_Опоры!$B$4:$J$70,2,0),"")</f>
        <v/>
      </c>
      <c r="G49" s="11" t="str">
        <f>IFERROR(VLOOKUP($E49,Спр_Опоры!$B$4:$J$70,3,0),"")</f>
        <v/>
      </c>
      <c r="H49" s="10"/>
      <c r="I49" s="10"/>
      <c r="J49" s="10"/>
      <c r="K49" s="11" t="str">
        <f>IFERROR(VLOOKUP($J49,Спр_Дефекты!$A$4:$F$7,2,0),"")</f>
        <v/>
      </c>
      <c r="L49" s="11" t="str">
        <f>IFERROR(VLOOKUP($J49,Спр_Дефекты!$A$4:$F$7,3,0),"")</f>
        <v/>
      </c>
      <c r="M49" s="11" t="str">
        <f>IFERROR(VLOOKUP($J49,Спр_Дефекты!$A$4:$F$7,4,0),"")</f>
        <v/>
      </c>
      <c r="N49" s="11" t="str">
        <f>IFERROR(VLOOKUP($J49,Спр_Дефекты!$A$4:$F$7,5,0),"")</f>
        <v/>
      </c>
      <c r="O49" s="11" t="str">
        <f>IFERROR(VLOOKUP($J49,Спр_Дефекты!$A$4:$F$7,6,0),"")</f>
        <v/>
      </c>
      <c r="P49" s="10"/>
      <c r="Q49" s="10"/>
      <c r="R49" s="10"/>
      <c r="S49" s="10"/>
      <c r="T49" s="10"/>
      <c r="U49" s="10"/>
      <c r="V49" s="11" t="str">
        <f>IFERROR(VLOOKUP($E49,Спр_Опоры!$B$4:$J$70,9,0),"")</f>
        <v/>
      </c>
      <c r="W49" s="10"/>
    </row>
    <row r="50">
      <c r="A50" s="10"/>
      <c r="B50" s="10"/>
      <c r="C50" s="10"/>
      <c r="D50" s="10"/>
      <c r="E50" s="10"/>
      <c r="F50" s="11" t="str">
        <f>IFERROR(VLOOKUP($E50,Спр_Опоры!$B$4:$J$70,2,0),"")</f>
        <v/>
      </c>
      <c r="G50" s="11" t="str">
        <f>IFERROR(VLOOKUP($E50,Спр_Опоры!$B$4:$J$70,3,0),"")</f>
        <v/>
      </c>
      <c r="H50" s="10"/>
      <c r="I50" s="10"/>
      <c r="J50" s="10"/>
      <c r="K50" s="11" t="str">
        <f>IFERROR(VLOOKUP($J50,Спр_Дефекты!$A$4:$F$7,2,0),"")</f>
        <v/>
      </c>
      <c r="L50" s="11" t="str">
        <f>IFERROR(VLOOKUP($J50,Спр_Дефекты!$A$4:$F$7,3,0),"")</f>
        <v/>
      </c>
      <c r="M50" s="11" t="str">
        <f>IFERROR(VLOOKUP($J50,Спр_Дефекты!$A$4:$F$7,4,0),"")</f>
        <v/>
      </c>
      <c r="N50" s="11" t="str">
        <f>IFERROR(VLOOKUP($J50,Спр_Дефекты!$A$4:$F$7,5,0),"")</f>
        <v/>
      </c>
      <c r="O50" s="11" t="str">
        <f>IFERROR(VLOOKUP($J50,Спр_Дефекты!$A$4:$F$7,6,0),"")</f>
        <v/>
      </c>
      <c r="P50" s="10"/>
      <c r="Q50" s="10"/>
      <c r="R50" s="10"/>
      <c r="S50" s="10"/>
      <c r="T50" s="10"/>
      <c r="U50" s="10"/>
      <c r="V50" s="11" t="str">
        <f>IFERROR(VLOOKUP($E50,Спр_Опоры!$B$4:$J$70,9,0),"")</f>
        <v/>
      </c>
      <c r="W50" s="10"/>
    </row>
    <row r="51">
      <c r="A51" s="10"/>
      <c r="B51" s="10"/>
      <c r="C51" s="10"/>
      <c r="D51" s="10"/>
      <c r="E51" s="10"/>
      <c r="F51" s="11" t="str">
        <f>IFERROR(VLOOKUP($E51,Спр_Опоры!$B$4:$J$70,2,0),"")</f>
        <v/>
      </c>
      <c r="G51" s="11" t="str">
        <f>IFERROR(VLOOKUP($E51,Спр_Опоры!$B$4:$J$70,3,0),"")</f>
        <v/>
      </c>
      <c r="H51" s="10"/>
      <c r="I51" s="10"/>
      <c r="J51" s="10"/>
      <c r="K51" s="11" t="str">
        <f>IFERROR(VLOOKUP($J51,Спр_Дефекты!$A$4:$F$7,2,0),"")</f>
        <v/>
      </c>
      <c r="L51" s="11" t="str">
        <f>IFERROR(VLOOKUP($J51,Спр_Дефекты!$A$4:$F$7,3,0),"")</f>
        <v/>
      </c>
      <c r="M51" s="11" t="str">
        <f>IFERROR(VLOOKUP($J51,Спр_Дефекты!$A$4:$F$7,4,0),"")</f>
        <v/>
      </c>
      <c r="N51" s="11" t="str">
        <f>IFERROR(VLOOKUP($J51,Спр_Дефекты!$A$4:$F$7,5,0),"")</f>
        <v/>
      </c>
      <c r="O51" s="11" t="str">
        <f>IFERROR(VLOOKUP($J51,Спр_Дефекты!$A$4:$F$7,6,0),"")</f>
        <v/>
      </c>
      <c r="P51" s="10"/>
      <c r="Q51" s="10"/>
      <c r="R51" s="10"/>
      <c r="S51" s="10"/>
      <c r="T51" s="10"/>
      <c r="U51" s="10"/>
      <c r="V51" s="11" t="str">
        <f>IFERROR(VLOOKUP($E51,Спр_Опоры!$B$4:$J$70,9,0),"")</f>
        <v/>
      </c>
      <c r="W51" s="10"/>
    </row>
    <row r="52">
      <c r="A52" s="10"/>
      <c r="B52" s="10"/>
      <c r="C52" s="10"/>
      <c r="D52" s="10"/>
      <c r="E52" s="10"/>
      <c r="F52" s="11" t="str">
        <f>IFERROR(VLOOKUP($E52,Спр_Опоры!$B$4:$J$70,2,0),"")</f>
        <v/>
      </c>
      <c r="G52" s="11" t="str">
        <f>IFERROR(VLOOKUP($E52,Спр_Опоры!$B$4:$J$70,3,0),"")</f>
        <v/>
      </c>
      <c r="H52" s="10"/>
      <c r="I52" s="10"/>
      <c r="J52" s="10"/>
      <c r="K52" s="11" t="str">
        <f>IFERROR(VLOOKUP($J52,Спр_Дефекты!$A$4:$F$7,2,0),"")</f>
        <v/>
      </c>
      <c r="L52" s="11" t="str">
        <f>IFERROR(VLOOKUP($J52,Спр_Дефекты!$A$4:$F$7,3,0),"")</f>
        <v/>
      </c>
      <c r="M52" s="11" t="str">
        <f>IFERROR(VLOOKUP($J52,Спр_Дефекты!$A$4:$F$7,4,0),"")</f>
        <v/>
      </c>
      <c r="N52" s="11" t="str">
        <f>IFERROR(VLOOKUP($J52,Спр_Дефекты!$A$4:$F$7,5,0),"")</f>
        <v/>
      </c>
      <c r="O52" s="11" t="str">
        <f>IFERROR(VLOOKUP($J52,Спр_Дефекты!$A$4:$F$7,6,0),"")</f>
        <v/>
      </c>
      <c r="P52" s="10"/>
      <c r="Q52" s="10"/>
      <c r="R52" s="10"/>
      <c r="S52" s="10"/>
      <c r="T52" s="10"/>
      <c r="U52" s="10"/>
      <c r="V52" s="11" t="str">
        <f>IFERROR(VLOOKUP($E52,Спр_Опоры!$B$4:$J$70,9,0),"")</f>
        <v/>
      </c>
      <c r="W52" s="10"/>
    </row>
    <row r="53">
      <c r="A53" s="10"/>
      <c r="B53" s="10"/>
      <c r="C53" s="10"/>
      <c r="D53" s="10"/>
      <c r="E53" s="10"/>
      <c r="F53" s="11" t="str">
        <f>IFERROR(VLOOKUP($E53,Спр_Опоры!$B$4:$J$70,2,0),"")</f>
        <v/>
      </c>
      <c r="G53" s="11" t="str">
        <f>IFERROR(VLOOKUP($E53,Спр_Опоры!$B$4:$J$70,3,0),"")</f>
        <v/>
      </c>
      <c r="H53" s="10"/>
      <c r="I53" s="10"/>
      <c r="J53" s="10"/>
      <c r="K53" s="11" t="str">
        <f>IFERROR(VLOOKUP($J53,Спр_Дефекты!$A$4:$F$7,2,0),"")</f>
        <v/>
      </c>
      <c r="L53" s="11" t="str">
        <f>IFERROR(VLOOKUP($J53,Спр_Дефекты!$A$4:$F$7,3,0),"")</f>
        <v/>
      </c>
      <c r="M53" s="11" t="str">
        <f>IFERROR(VLOOKUP($J53,Спр_Дефекты!$A$4:$F$7,4,0),"")</f>
        <v/>
      </c>
      <c r="N53" s="11" t="str">
        <f>IFERROR(VLOOKUP($J53,Спр_Дефекты!$A$4:$F$7,5,0),"")</f>
        <v/>
      </c>
      <c r="O53" s="11" t="str">
        <f>IFERROR(VLOOKUP($J53,Спр_Дефекты!$A$4:$F$7,6,0),"")</f>
        <v/>
      </c>
      <c r="P53" s="10"/>
      <c r="Q53" s="10"/>
      <c r="R53" s="10"/>
      <c r="S53" s="10"/>
      <c r="T53" s="10"/>
      <c r="U53" s="10"/>
      <c r="V53" s="11" t="str">
        <f>IFERROR(VLOOKUP($E53,Спр_Опоры!$B$4:$J$70,9,0),"")</f>
        <v/>
      </c>
      <c r="W53" s="10"/>
    </row>
    <row r="54">
      <c r="A54" s="10"/>
      <c r="B54" s="10"/>
      <c r="C54" s="10"/>
      <c r="D54" s="10"/>
      <c r="E54" s="10"/>
      <c r="F54" s="11" t="str">
        <f>IFERROR(VLOOKUP($E54,Спр_Опоры!$B$4:$J$70,2,0),"")</f>
        <v/>
      </c>
      <c r="G54" s="11" t="str">
        <f>IFERROR(VLOOKUP($E54,Спр_Опоры!$B$4:$J$70,3,0),"")</f>
        <v/>
      </c>
      <c r="H54" s="10"/>
      <c r="I54" s="10"/>
      <c r="J54" s="10"/>
      <c r="K54" s="11" t="str">
        <f>IFERROR(VLOOKUP($J54,Спр_Дефекты!$A$4:$F$7,2,0),"")</f>
        <v/>
      </c>
      <c r="L54" s="11" t="str">
        <f>IFERROR(VLOOKUP($J54,Спр_Дефекты!$A$4:$F$7,3,0),"")</f>
        <v/>
      </c>
      <c r="M54" s="11" t="str">
        <f>IFERROR(VLOOKUP($J54,Спр_Дефекты!$A$4:$F$7,4,0),"")</f>
        <v/>
      </c>
      <c r="N54" s="11" t="str">
        <f>IFERROR(VLOOKUP($J54,Спр_Дефекты!$A$4:$F$7,5,0),"")</f>
        <v/>
      </c>
      <c r="O54" s="11" t="str">
        <f>IFERROR(VLOOKUP($J54,Спр_Дефекты!$A$4:$F$7,6,0),"")</f>
        <v/>
      </c>
      <c r="P54" s="10"/>
      <c r="Q54" s="10"/>
      <c r="R54" s="10"/>
      <c r="S54" s="10"/>
      <c r="T54" s="10"/>
      <c r="U54" s="10"/>
      <c r="V54" s="11" t="str">
        <f>IFERROR(VLOOKUP($E54,Спр_Опоры!$B$4:$J$70,9,0),"")</f>
        <v/>
      </c>
      <c r="W54" s="10"/>
    </row>
    <row r="55">
      <c r="A55" s="10"/>
      <c r="B55" s="10"/>
      <c r="C55" s="10"/>
      <c r="D55" s="10"/>
      <c r="E55" s="10"/>
      <c r="F55" s="11" t="str">
        <f>IFERROR(VLOOKUP($E55,Спр_Опоры!$B$4:$J$70,2,0),"")</f>
        <v/>
      </c>
      <c r="G55" s="11" t="str">
        <f>IFERROR(VLOOKUP($E55,Спр_Опоры!$B$4:$J$70,3,0),"")</f>
        <v/>
      </c>
      <c r="H55" s="10"/>
      <c r="I55" s="10"/>
      <c r="J55" s="10"/>
      <c r="K55" s="11" t="str">
        <f>IFERROR(VLOOKUP($J55,Спр_Дефекты!$A$4:$F$7,2,0),"")</f>
        <v/>
      </c>
      <c r="L55" s="11" t="str">
        <f>IFERROR(VLOOKUP($J55,Спр_Дефекты!$A$4:$F$7,3,0),"")</f>
        <v/>
      </c>
      <c r="M55" s="11" t="str">
        <f>IFERROR(VLOOKUP($J55,Спр_Дефекты!$A$4:$F$7,4,0),"")</f>
        <v/>
      </c>
      <c r="N55" s="11" t="str">
        <f>IFERROR(VLOOKUP($J55,Спр_Дефекты!$A$4:$F$7,5,0),"")</f>
        <v/>
      </c>
      <c r="O55" s="11" t="str">
        <f>IFERROR(VLOOKUP($J55,Спр_Дефекты!$A$4:$F$7,6,0),"")</f>
        <v/>
      </c>
      <c r="P55" s="10"/>
      <c r="Q55" s="10"/>
      <c r="R55" s="10"/>
      <c r="S55" s="10"/>
      <c r="T55" s="10"/>
      <c r="U55" s="10"/>
      <c r="V55" s="11" t="str">
        <f>IFERROR(VLOOKUP($E55,Спр_Опоры!$B$4:$J$70,9,0),"")</f>
        <v/>
      </c>
      <c r="W55" s="10"/>
    </row>
    <row r="56">
      <c r="A56" s="10"/>
      <c r="B56" s="10"/>
      <c r="C56" s="10"/>
      <c r="D56" s="10"/>
      <c r="E56" s="10"/>
      <c r="F56" s="11" t="str">
        <f>IFERROR(VLOOKUP($E56,Спр_Опоры!$B$4:$J$70,2,0),"")</f>
        <v/>
      </c>
      <c r="G56" s="11" t="str">
        <f>IFERROR(VLOOKUP($E56,Спр_Опоры!$B$4:$J$70,3,0),"")</f>
        <v/>
      </c>
      <c r="H56" s="10"/>
      <c r="I56" s="10"/>
      <c r="J56" s="10"/>
      <c r="K56" s="11" t="str">
        <f>IFERROR(VLOOKUP($J56,Спр_Дефекты!$A$4:$F$7,2,0),"")</f>
        <v/>
      </c>
      <c r="L56" s="11" t="str">
        <f>IFERROR(VLOOKUP($J56,Спр_Дефекты!$A$4:$F$7,3,0),"")</f>
        <v/>
      </c>
      <c r="M56" s="11" t="str">
        <f>IFERROR(VLOOKUP($J56,Спр_Дефекты!$A$4:$F$7,4,0),"")</f>
        <v/>
      </c>
      <c r="N56" s="11" t="str">
        <f>IFERROR(VLOOKUP($J56,Спр_Дефекты!$A$4:$F$7,5,0),"")</f>
        <v/>
      </c>
      <c r="O56" s="11" t="str">
        <f>IFERROR(VLOOKUP($J56,Спр_Дефекты!$A$4:$F$7,6,0),"")</f>
        <v/>
      </c>
      <c r="P56" s="10"/>
      <c r="Q56" s="10"/>
      <c r="R56" s="10"/>
      <c r="S56" s="10"/>
      <c r="T56" s="10"/>
      <c r="U56" s="10"/>
      <c r="V56" s="11" t="str">
        <f>IFERROR(VLOOKUP($E56,Спр_Опоры!$B$4:$J$70,9,0),"")</f>
        <v/>
      </c>
      <c r="W56" s="10"/>
    </row>
    <row r="57">
      <c r="A57" s="10"/>
      <c r="B57" s="10"/>
      <c r="C57" s="10"/>
      <c r="D57" s="10"/>
      <c r="E57" s="10"/>
      <c r="F57" s="11" t="str">
        <f>IFERROR(VLOOKUP($E57,Спр_Опоры!$B$4:$J$70,2,0),"")</f>
        <v/>
      </c>
      <c r="G57" s="11" t="str">
        <f>IFERROR(VLOOKUP($E57,Спр_Опоры!$B$4:$J$70,3,0),"")</f>
        <v/>
      </c>
      <c r="H57" s="10"/>
      <c r="I57" s="10"/>
      <c r="J57" s="10"/>
      <c r="K57" s="11" t="str">
        <f>IFERROR(VLOOKUP($J57,Спр_Дефекты!$A$4:$F$7,2,0),"")</f>
        <v/>
      </c>
      <c r="L57" s="11" t="str">
        <f>IFERROR(VLOOKUP($J57,Спр_Дефекты!$A$4:$F$7,3,0),"")</f>
        <v/>
      </c>
      <c r="M57" s="11" t="str">
        <f>IFERROR(VLOOKUP($J57,Спр_Дефекты!$A$4:$F$7,4,0),"")</f>
        <v/>
      </c>
      <c r="N57" s="11" t="str">
        <f>IFERROR(VLOOKUP($J57,Спр_Дефекты!$A$4:$F$7,5,0),"")</f>
        <v/>
      </c>
      <c r="O57" s="11" t="str">
        <f>IFERROR(VLOOKUP($J57,Спр_Дефекты!$A$4:$F$7,6,0),"")</f>
        <v/>
      </c>
      <c r="P57" s="10"/>
      <c r="Q57" s="10"/>
      <c r="R57" s="10"/>
      <c r="S57" s="10"/>
      <c r="T57" s="10"/>
      <c r="U57" s="10"/>
      <c r="V57" s="11" t="str">
        <f>IFERROR(VLOOKUP($E57,Спр_Опоры!$B$4:$J$70,9,0),"")</f>
        <v/>
      </c>
      <c r="W57" s="10"/>
    </row>
    <row r="58">
      <c r="A58" s="10"/>
      <c r="B58" s="10"/>
      <c r="C58" s="10"/>
      <c r="D58" s="10"/>
      <c r="E58" s="10"/>
      <c r="F58" s="11" t="str">
        <f>IFERROR(VLOOKUP($E58,Спр_Опоры!$B$4:$J$70,2,0),"")</f>
        <v/>
      </c>
      <c r="G58" s="11" t="str">
        <f>IFERROR(VLOOKUP($E58,Спр_Опоры!$B$4:$J$70,3,0),"")</f>
        <v/>
      </c>
      <c r="H58" s="10"/>
      <c r="I58" s="10"/>
      <c r="J58" s="10"/>
      <c r="K58" s="11" t="str">
        <f>IFERROR(VLOOKUP($J58,Спр_Дефекты!$A$4:$F$7,2,0),"")</f>
        <v/>
      </c>
      <c r="L58" s="11" t="str">
        <f>IFERROR(VLOOKUP($J58,Спр_Дефекты!$A$4:$F$7,3,0),"")</f>
        <v/>
      </c>
      <c r="M58" s="11" t="str">
        <f>IFERROR(VLOOKUP($J58,Спр_Дефекты!$A$4:$F$7,4,0),"")</f>
        <v/>
      </c>
      <c r="N58" s="11" t="str">
        <f>IFERROR(VLOOKUP($J58,Спр_Дефекты!$A$4:$F$7,5,0),"")</f>
        <v/>
      </c>
      <c r="O58" s="11" t="str">
        <f>IFERROR(VLOOKUP($J58,Спр_Дефекты!$A$4:$F$7,6,0),"")</f>
        <v/>
      </c>
      <c r="P58" s="10"/>
      <c r="Q58" s="10"/>
      <c r="R58" s="10"/>
      <c r="S58" s="10"/>
      <c r="T58" s="10"/>
      <c r="U58" s="10"/>
      <c r="V58" s="11" t="str">
        <f>IFERROR(VLOOKUP($E58,Спр_Опоры!$B$4:$J$70,9,0),"")</f>
        <v/>
      </c>
      <c r="W58" s="10"/>
    </row>
    <row r="59">
      <c r="A59" s="10"/>
      <c r="B59" s="10"/>
      <c r="C59" s="10"/>
      <c r="D59" s="10"/>
      <c r="E59" s="10"/>
      <c r="F59" s="11" t="str">
        <f>IFERROR(VLOOKUP($E59,Спр_Опоры!$B$4:$J$70,2,0),"")</f>
        <v/>
      </c>
      <c r="G59" s="11" t="str">
        <f>IFERROR(VLOOKUP($E59,Спр_Опоры!$B$4:$J$70,3,0),"")</f>
        <v/>
      </c>
      <c r="H59" s="10"/>
      <c r="I59" s="10"/>
      <c r="J59" s="10"/>
      <c r="K59" s="11" t="str">
        <f>IFERROR(VLOOKUP($J59,Спр_Дефекты!$A$4:$F$7,2,0),"")</f>
        <v/>
      </c>
      <c r="L59" s="11" t="str">
        <f>IFERROR(VLOOKUP($J59,Спр_Дефекты!$A$4:$F$7,3,0),"")</f>
        <v/>
      </c>
      <c r="M59" s="11" t="str">
        <f>IFERROR(VLOOKUP($J59,Спр_Дефекты!$A$4:$F$7,4,0),"")</f>
        <v/>
      </c>
      <c r="N59" s="11" t="str">
        <f>IFERROR(VLOOKUP($J59,Спр_Дефекты!$A$4:$F$7,5,0),"")</f>
        <v/>
      </c>
      <c r="O59" s="11" t="str">
        <f>IFERROR(VLOOKUP($J59,Спр_Дефекты!$A$4:$F$7,6,0),"")</f>
        <v/>
      </c>
      <c r="P59" s="10"/>
      <c r="Q59" s="10"/>
      <c r="R59" s="10"/>
      <c r="S59" s="10"/>
      <c r="T59" s="10"/>
      <c r="U59" s="10"/>
      <c r="V59" s="11" t="str">
        <f>IFERROR(VLOOKUP($E59,Спр_Опоры!$B$4:$J$70,9,0),"")</f>
        <v/>
      </c>
      <c r="W59" s="10"/>
    </row>
    <row r="60">
      <c r="A60" s="10"/>
      <c r="B60" s="10"/>
      <c r="C60" s="10"/>
      <c r="D60" s="10"/>
      <c r="E60" s="10"/>
      <c r="F60" s="11" t="str">
        <f>IFERROR(VLOOKUP($E60,Спр_Опоры!$B$4:$J$70,2,0),"")</f>
        <v/>
      </c>
      <c r="G60" s="11" t="str">
        <f>IFERROR(VLOOKUP($E60,Спр_Опоры!$B$4:$J$70,3,0),"")</f>
        <v/>
      </c>
      <c r="H60" s="10"/>
      <c r="I60" s="10"/>
      <c r="J60" s="10"/>
      <c r="K60" s="11" t="str">
        <f>IFERROR(VLOOKUP($J60,Спр_Дефекты!$A$4:$F$7,2,0),"")</f>
        <v/>
      </c>
      <c r="L60" s="11" t="str">
        <f>IFERROR(VLOOKUP($J60,Спр_Дефекты!$A$4:$F$7,3,0),"")</f>
        <v/>
      </c>
      <c r="M60" s="11" t="str">
        <f>IFERROR(VLOOKUP($J60,Спр_Дефекты!$A$4:$F$7,4,0),"")</f>
        <v/>
      </c>
      <c r="N60" s="11" t="str">
        <f>IFERROR(VLOOKUP($J60,Спр_Дефекты!$A$4:$F$7,5,0),"")</f>
        <v/>
      </c>
      <c r="O60" s="11" t="str">
        <f>IFERROR(VLOOKUP($J60,Спр_Дефекты!$A$4:$F$7,6,0),"")</f>
        <v/>
      </c>
      <c r="P60" s="10"/>
      <c r="Q60" s="10"/>
      <c r="R60" s="10"/>
      <c r="S60" s="10"/>
      <c r="T60" s="10"/>
      <c r="U60" s="10"/>
      <c r="V60" s="11" t="str">
        <f>IFERROR(VLOOKUP($E60,Спр_Опоры!$B$4:$J$70,9,0),"")</f>
        <v/>
      </c>
      <c r="W60" s="10"/>
    </row>
    <row r="61">
      <c r="A61" s="10"/>
      <c r="B61" s="10"/>
      <c r="C61" s="10"/>
      <c r="D61" s="10"/>
      <c r="E61" s="10"/>
      <c r="F61" s="11" t="str">
        <f>IFERROR(VLOOKUP($E61,Спр_Опоры!$B$4:$J$70,2,0),"")</f>
        <v/>
      </c>
      <c r="G61" s="11" t="str">
        <f>IFERROR(VLOOKUP($E61,Спр_Опоры!$B$4:$J$70,3,0),"")</f>
        <v/>
      </c>
      <c r="H61" s="10"/>
      <c r="I61" s="10"/>
      <c r="J61" s="10"/>
      <c r="K61" s="11" t="str">
        <f>IFERROR(VLOOKUP($J61,Спр_Дефекты!$A$4:$F$7,2,0),"")</f>
        <v/>
      </c>
      <c r="L61" s="11" t="str">
        <f>IFERROR(VLOOKUP($J61,Спр_Дефекты!$A$4:$F$7,3,0),"")</f>
        <v/>
      </c>
      <c r="M61" s="11" t="str">
        <f>IFERROR(VLOOKUP($J61,Спр_Дефекты!$A$4:$F$7,4,0),"")</f>
        <v/>
      </c>
      <c r="N61" s="11" t="str">
        <f>IFERROR(VLOOKUP($J61,Спр_Дефекты!$A$4:$F$7,5,0),"")</f>
        <v/>
      </c>
      <c r="O61" s="11" t="str">
        <f>IFERROR(VLOOKUP($J61,Спр_Дефекты!$A$4:$F$7,6,0),"")</f>
        <v/>
      </c>
      <c r="P61" s="10"/>
      <c r="Q61" s="10"/>
      <c r="R61" s="10"/>
      <c r="S61" s="10"/>
      <c r="T61" s="10"/>
      <c r="U61" s="10"/>
      <c r="V61" s="11" t="str">
        <f>IFERROR(VLOOKUP($E61,Спр_Опоры!$B$4:$J$70,9,0),"")</f>
        <v/>
      </c>
      <c r="W61" s="10"/>
    </row>
    <row r="62">
      <c r="A62" s="10"/>
      <c r="B62" s="10"/>
      <c r="C62" s="10"/>
      <c r="D62" s="10"/>
      <c r="E62" s="10"/>
      <c r="F62" s="11" t="str">
        <f>IFERROR(VLOOKUP($E62,Спр_Опоры!$B$4:$J$70,2,0),"")</f>
        <v/>
      </c>
      <c r="G62" s="11" t="str">
        <f>IFERROR(VLOOKUP($E62,Спр_Опоры!$B$4:$J$70,3,0),"")</f>
        <v/>
      </c>
      <c r="H62" s="10"/>
      <c r="I62" s="10"/>
      <c r="J62" s="10"/>
      <c r="K62" s="11" t="str">
        <f>IFERROR(VLOOKUP($J62,Спр_Дефекты!$A$4:$F$7,2,0),"")</f>
        <v/>
      </c>
      <c r="L62" s="11" t="str">
        <f>IFERROR(VLOOKUP($J62,Спр_Дефекты!$A$4:$F$7,3,0),"")</f>
        <v/>
      </c>
      <c r="M62" s="11" t="str">
        <f>IFERROR(VLOOKUP($J62,Спр_Дефекты!$A$4:$F$7,4,0),"")</f>
        <v/>
      </c>
      <c r="N62" s="11" t="str">
        <f>IFERROR(VLOOKUP($J62,Спр_Дефекты!$A$4:$F$7,5,0),"")</f>
        <v/>
      </c>
      <c r="O62" s="11" t="str">
        <f>IFERROR(VLOOKUP($J62,Спр_Дефекты!$A$4:$F$7,6,0),"")</f>
        <v/>
      </c>
      <c r="P62" s="10"/>
      <c r="Q62" s="10"/>
      <c r="R62" s="10"/>
      <c r="S62" s="10"/>
      <c r="T62" s="10"/>
      <c r="U62" s="10"/>
      <c r="V62" s="11" t="str">
        <f>IFERROR(VLOOKUP($E62,Спр_Опоры!$B$4:$J$70,9,0),"")</f>
        <v/>
      </c>
      <c r="W62" s="10"/>
    </row>
    <row r="63">
      <c r="A63" s="10"/>
      <c r="B63" s="10"/>
      <c r="C63" s="10"/>
      <c r="D63" s="10"/>
      <c r="E63" s="10"/>
      <c r="F63" s="11" t="str">
        <f>IFERROR(VLOOKUP($E63,Спр_Опоры!$B$4:$J$70,2,0),"")</f>
        <v/>
      </c>
      <c r="G63" s="11" t="str">
        <f>IFERROR(VLOOKUP($E63,Спр_Опоры!$B$4:$J$70,3,0),"")</f>
        <v/>
      </c>
      <c r="H63" s="10"/>
      <c r="I63" s="10"/>
      <c r="J63" s="10"/>
      <c r="K63" s="11" t="str">
        <f>IFERROR(VLOOKUP($J63,Спр_Дефекты!$A$4:$F$7,2,0),"")</f>
        <v/>
      </c>
      <c r="L63" s="11" t="str">
        <f>IFERROR(VLOOKUP($J63,Спр_Дефекты!$A$4:$F$7,3,0),"")</f>
        <v/>
      </c>
      <c r="M63" s="11" t="str">
        <f>IFERROR(VLOOKUP($J63,Спр_Дефекты!$A$4:$F$7,4,0),"")</f>
        <v/>
      </c>
      <c r="N63" s="11" t="str">
        <f>IFERROR(VLOOKUP($J63,Спр_Дефекты!$A$4:$F$7,5,0),"")</f>
        <v/>
      </c>
      <c r="O63" s="11" t="str">
        <f>IFERROR(VLOOKUP($J63,Спр_Дефекты!$A$4:$F$7,6,0),"")</f>
        <v/>
      </c>
      <c r="P63" s="10"/>
      <c r="Q63" s="10"/>
      <c r="R63" s="10"/>
      <c r="S63" s="10"/>
      <c r="T63" s="10"/>
      <c r="U63" s="10"/>
      <c r="V63" s="11" t="str">
        <f>IFERROR(VLOOKUP($E63,Спр_Опоры!$B$4:$J$70,9,0),"")</f>
        <v/>
      </c>
      <c r="W63" s="10"/>
    </row>
    <row r="64">
      <c r="A64" s="10"/>
      <c r="B64" s="10"/>
      <c r="C64" s="10"/>
      <c r="D64" s="10"/>
      <c r="E64" s="10"/>
      <c r="F64" s="11" t="str">
        <f>IFERROR(VLOOKUP($E64,Спр_Опоры!$B$4:$J$70,2,0),"")</f>
        <v/>
      </c>
      <c r="G64" s="11" t="str">
        <f>IFERROR(VLOOKUP($E64,Спр_Опоры!$B$4:$J$70,3,0),"")</f>
        <v/>
      </c>
      <c r="H64" s="10"/>
      <c r="I64" s="10"/>
      <c r="J64" s="10"/>
      <c r="K64" s="11" t="str">
        <f>IFERROR(VLOOKUP($J64,Спр_Дефекты!$A$4:$F$7,2,0),"")</f>
        <v/>
      </c>
      <c r="L64" s="11" t="str">
        <f>IFERROR(VLOOKUP($J64,Спр_Дефекты!$A$4:$F$7,3,0),"")</f>
        <v/>
      </c>
      <c r="M64" s="11" t="str">
        <f>IFERROR(VLOOKUP($J64,Спр_Дефекты!$A$4:$F$7,4,0),"")</f>
        <v/>
      </c>
      <c r="N64" s="11" t="str">
        <f>IFERROR(VLOOKUP($J64,Спр_Дефекты!$A$4:$F$7,5,0),"")</f>
        <v/>
      </c>
      <c r="O64" s="11" t="str">
        <f>IFERROR(VLOOKUP($J64,Спр_Дефекты!$A$4:$F$7,6,0),"")</f>
        <v/>
      </c>
      <c r="P64" s="10"/>
      <c r="Q64" s="10"/>
      <c r="R64" s="10"/>
      <c r="S64" s="10"/>
      <c r="T64" s="10"/>
      <c r="U64" s="10"/>
      <c r="V64" s="11" t="str">
        <f>IFERROR(VLOOKUP($E64,Спр_Опоры!$B$4:$J$70,9,0),"")</f>
        <v/>
      </c>
      <c r="W64" s="10"/>
    </row>
    <row r="65">
      <c r="A65" s="10"/>
      <c r="B65" s="10"/>
      <c r="C65" s="10"/>
      <c r="D65" s="10"/>
      <c r="E65" s="10"/>
      <c r="F65" s="11" t="str">
        <f>IFERROR(VLOOKUP($E65,Спр_Опоры!$B$4:$J$70,2,0),"")</f>
        <v/>
      </c>
      <c r="G65" s="11" t="str">
        <f>IFERROR(VLOOKUP($E65,Спр_Опоры!$B$4:$J$70,3,0),"")</f>
        <v/>
      </c>
      <c r="H65" s="10"/>
      <c r="I65" s="10"/>
      <c r="J65" s="10"/>
      <c r="K65" s="11" t="str">
        <f>IFERROR(VLOOKUP($J65,Спр_Дефекты!$A$4:$F$7,2,0),"")</f>
        <v/>
      </c>
      <c r="L65" s="11" t="str">
        <f>IFERROR(VLOOKUP($J65,Спр_Дефекты!$A$4:$F$7,3,0),"")</f>
        <v/>
      </c>
      <c r="M65" s="11" t="str">
        <f>IFERROR(VLOOKUP($J65,Спр_Дефекты!$A$4:$F$7,4,0),"")</f>
        <v/>
      </c>
      <c r="N65" s="11" t="str">
        <f>IFERROR(VLOOKUP($J65,Спр_Дефекты!$A$4:$F$7,5,0),"")</f>
        <v/>
      </c>
      <c r="O65" s="11" t="str">
        <f>IFERROR(VLOOKUP($J65,Спр_Дефекты!$A$4:$F$7,6,0),"")</f>
        <v/>
      </c>
      <c r="P65" s="10"/>
      <c r="Q65" s="10"/>
      <c r="R65" s="10"/>
      <c r="S65" s="10"/>
      <c r="T65" s="10"/>
      <c r="U65" s="10"/>
      <c r="V65" s="11" t="str">
        <f>IFERROR(VLOOKUP($E65,Спр_Опоры!$B$4:$J$70,9,0),"")</f>
        <v/>
      </c>
      <c r="W65" s="10"/>
    </row>
    <row r="66">
      <c r="A66" s="10"/>
      <c r="B66" s="10"/>
      <c r="C66" s="10"/>
      <c r="D66" s="10"/>
      <c r="E66" s="10"/>
      <c r="F66" s="11" t="str">
        <f>IFERROR(VLOOKUP($E66,Спр_Опоры!$B$4:$J$70,2,0),"")</f>
        <v/>
      </c>
      <c r="G66" s="11" t="str">
        <f>IFERROR(VLOOKUP($E66,Спр_Опоры!$B$4:$J$70,3,0),"")</f>
        <v/>
      </c>
      <c r="H66" s="10"/>
      <c r="I66" s="10"/>
      <c r="J66" s="10"/>
      <c r="K66" s="11" t="str">
        <f>IFERROR(VLOOKUP($J66,Спр_Дефекты!$A$4:$F$7,2,0),"")</f>
        <v/>
      </c>
      <c r="L66" s="11" t="str">
        <f>IFERROR(VLOOKUP($J66,Спр_Дефекты!$A$4:$F$7,3,0),"")</f>
        <v/>
      </c>
      <c r="M66" s="11" t="str">
        <f>IFERROR(VLOOKUP($J66,Спр_Дефекты!$A$4:$F$7,4,0),"")</f>
        <v/>
      </c>
      <c r="N66" s="11" t="str">
        <f>IFERROR(VLOOKUP($J66,Спр_Дефекты!$A$4:$F$7,5,0),"")</f>
        <v/>
      </c>
      <c r="O66" s="11" t="str">
        <f>IFERROR(VLOOKUP($J66,Спр_Дефекты!$A$4:$F$7,6,0),"")</f>
        <v/>
      </c>
      <c r="P66" s="10"/>
      <c r="Q66" s="10"/>
      <c r="R66" s="10"/>
      <c r="S66" s="10"/>
      <c r="T66" s="10"/>
      <c r="U66" s="10"/>
      <c r="V66" s="11" t="str">
        <f>IFERROR(VLOOKUP($E66,Спр_Опоры!$B$4:$J$70,9,0),"")</f>
        <v/>
      </c>
      <c r="W66" s="10"/>
    </row>
    <row r="67">
      <c r="A67" s="10"/>
      <c r="B67" s="10"/>
      <c r="C67" s="10"/>
      <c r="D67" s="10"/>
      <c r="E67" s="10"/>
      <c r="F67" s="11" t="str">
        <f>IFERROR(VLOOKUP($E67,Спр_Опоры!$B$4:$J$70,2,0),"")</f>
        <v/>
      </c>
      <c r="G67" s="11" t="str">
        <f>IFERROR(VLOOKUP($E67,Спр_Опоры!$B$4:$J$70,3,0),"")</f>
        <v/>
      </c>
      <c r="H67" s="10"/>
      <c r="I67" s="10"/>
      <c r="J67" s="10"/>
      <c r="K67" s="11" t="str">
        <f>IFERROR(VLOOKUP($J67,Спр_Дефекты!$A$4:$F$7,2,0),"")</f>
        <v/>
      </c>
      <c r="L67" s="11" t="str">
        <f>IFERROR(VLOOKUP($J67,Спр_Дефекты!$A$4:$F$7,3,0),"")</f>
        <v/>
      </c>
      <c r="M67" s="11" t="str">
        <f>IFERROR(VLOOKUP($J67,Спр_Дефекты!$A$4:$F$7,4,0),"")</f>
        <v/>
      </c>
      <c r="N67" s="11" t="str">
        <f>IFERROR(VLOOKUP($J67,Спр_Дефекты!$A$4:$F$7,5,0),"")</f>
        <v/>
      </c>
      <c r="O67" s="11" t="str">
        <f>IFERROR(VLOOKUP($J67,Спр_Дефекты!$A$4:$F$7,6,0),"")</f>
        <v/>
      </c>
      <c r="P67" s="10"/>
      <c r="Q67" s="10"/>
      <c r="R67" s="10"/>
      <c r="S67" s="10"/>
      <c r="T67" s="10"/>
      <c r="U67" s="10"/>
      <c r="V67" s="11" t="str">
        <f>IFERROR(VLOOKUP($E67,Спр_Опоры!$B$4:$J$70,9,0),"")</f>
        <v/>
      </c>
      <c r="W67" s="10"/>
    </row>
    <row r="68">
      <c r="A68" s="10"/>
      <c r="B68" s="10"/>
      <c r="C68" s="10"/>
      <c r="D68" s="10"/>
      <c r="E68" s="10"/>
      <c r="F68" s="11" t="str">
        <f>IFERROR(VLOOKUP($E68,Спр_Опоры!$B$4:$J$70,2,0),"")</f>
        <v/>
      </c>
      <c r="G68" s="11" t="str">
        <f>IFERROR(VLOOKUP($E68,Спр_Опоры!$B$4:$J$70,3,0),"")</f>
        <v/>
      </c>
      <c r="H68" s="10"/>
      <c r="I68" s="10"/>
      <c r="J68" s="10"/>
      <c r="K68" s="11" t="str">
        <f>IFERROR(VLOOKUP($J68,Спр_Дефекты!$A$4:$F$7,2,0),"")</f>
        <v/>
      </c>
      <c r="L68" s="11" t="str">
        <f>IFERROR(VLOOKUP($J68,Спр_Дефекты!$A$4:$F$7,3,0),"")</f>
        <v/>
      </c>
      <c r="M68" s="11" t="str">
        <f>IFERROR(VLOOKUP($J68,Спр_Дефекты!$A$4:$F$7,4,0),"")</f>
        <v/>
      </c>
      <c r="N68" s="11" t="str">
        <f>IFERROR(VLOOKUP($J68,Спр_Дефекты!$A$4:$F$7,5,0),"")</f>
        <v/>
      </c>
      <c r="O68" s="11" t="str">
        <f>IFERROR(VLOOKUP($J68,Спр_Дефекты!$A$4:$F$7,6,0),"")</f>
        <v/>
      </c>
      <c r="P68" s="10"/>
      <c r="Q68" s="10"/>
      <c r="R68" s="10"/>
      <c r="S68" s="10"/>
      <c r="T68" s="10"/>
      <c r="U68" s="10"/>
      <c r="V68" s="11" t="str">
        <f>IFERROR(VLOOKUP($E68,Спр_Опоры!$B$4:$J$70,9,0),"")</f>
        <v/>
      </c>
      <c r="W68" s="10"/>
    </row>
    <row r="69">
      <c r="A69" s="10"/>
      <c r="B69" s="10"/>
      <c r="C69" s="10"/>
      <c r="D69" s="10"/>
      <c r="E69" s="10"/>
      <c r="F69" s="11" t="str">
        <f>IFERROR(VLOOKUP($E69,Спр_Опоры!$B$4:$J$70,2,0),"")</f>
        <v/>
      </c>
      <c r="G69" s="11" t="str">
        <f>IFERROR(VLOOKUP($E69,Спр_Опоры!$B$4:$J$70,3,0),"")</f>
        <v/>
      </c>
      <c r="H69" s="10"/>
      <c r="I69" s="10"/>
      <c r="J69" s="10"/>
      <c r="K69" s="11" t="str">
        <f>IFERROR(VLOOKUP($J69,Спр_Дефекты!$A$4:$F$7,2,0),"")</f>
        <v/>
      </c>
      <c r="L69" s="11" t="str">
        <f>IFERROR(VLOOKUP($J69,Спр_Дефекты!$A$4:$F$7,3,0),"")</f>
        <v/>
      </c>
      <c r="M69" s="11" t="str">
        <f>IFERROR(VLOOKUP($J69,Спр_Дефекты!$A$4:$F$7,4,0),"")</f>
        <v/>
      </c>
      <c r="N69" s="11" t="str">
        <f>IFERROR(VLOOKUP($J69,Спр_Дефекты!$A$4:$F$7,5,0),"")</f>
        <v/>
      </c>
      <c r="O69" s="11" t="str">
        <f>IFERROR(VLOOKUP($J69,Спр_Дефекты!$A$4:$F$7,6,0),"")</f>
        <v/>
      </c>
      <c r="P69" s="10"/>
      <c r="Q69" s="10"/>
      <c r="R69" s="10"/>
      <c r="S69" s="10"/>
      <c r="T69" s="10"/>
      <c r="U69" s="10"/>
      <c r="V69" s="11" t="str">
        <f>IFERROR(VLOOKUP($E69,Спр_Опоры!$B$4:$J$70,9,0),"")</f>
        <v/>
      </c>
      <c r="W69" s="10"/>
    </row>
    <row r="70">
      <c r="A70" s="10"/>
      <c r="B70" s="10"/>
      <c r="C70" s="10"/>
      <c r="D70" s="10"/>
      <c r="E70" s="10"/>
      <c r="F70" s="11" t="str">
        <f>IFERROR(VLOOKUP($E70,Спр_Опоры!$B$4:$J$70,2,0),"")</f>
        <v/>
      </c>
      <c r="G70" s="11" t="str">
        <f>IFERROR(VLOOKUP($E70,Спр_Опоры!$B$4:$J$70,3,0),"")</f>
        <v/>
      </c>
      <c r="H70" s="10"/>
      <c r="I70" s="10"/>
      <c r="J70" s="10"/>
      <c r="K70" s="11" t="str">
        <f>IFERROR(VLOOKUP($J70,Спр_Дефекты!$A$4:$F$7,2,0),"")</f>
        <v/>
      </c>
      <c r="L70" s="11" t="str">
        <f>IFERROR(VLOOKUP($J70,Спр_Дефекты!$A$4:$F$7,3,0),"")</f>
        <v/>
      </c>
      <c r="M70" s="11" t="str">
        <f>IFERROR(VLOOKUP($J70,Спр_Дефекты!$A$4:$F$7,4,0),"")</f>
        <v/>
      </c>
      <c r="N70" s="11" t="str">
        <f>IFERROR(VLOOKUP($J70,Спр_Дефекты!$A$4:$F$7,5,0),"")</f>
        <v/>
      </c>
      <c r="O70" s="11" t="str">
        <f>IFERROR(VLOOKUP($J70,Спр_Дефекты!$A$4:$F$7,6,0),"")</f>
        <v/>
      </c>
      <c r="P70" s="10"/>
      <c r="Q70" s="10"/>
      <c r="R70" s="10"/>
      <c r="S70" s="10"/>
      <c r="T70" s="10"/>
      <c r="U70" s="10"/>
      <c r="V70" s="11" t="str">
        <f>IFERROR(VLOOKUP($E70,Спр_Опоры!$B$4:$J$70,9,0),"")</f>
        <v/>
      </c>
      <c r="W70" s="10"/>
    </row>
    <row r="71">
      <c r="A71" s="10"/>
      <c r="B71" s="10"/>
      <c r="C71" s="10"/>
      <c r="D71" s="10"/>
      <c r="E71" s="10"/>
      <c r="F71" s="11" t="str">
        <f>IFERROR(VLOOKUP($E71,Спр_Опоры!$B$4:$J$70,2,0),"")</f>
        <v/>
      </c>
      <c r="G71" s="11" t="str">
        <f>IFERROR(VLOOKUP($E71,Спр_Опоры!$B$4:$J$70,3,0),"")</f>
        <v/>
      </c>
      <c r="H71" s="10"/>
      <c r="I71" s="10"/>
      <c r="J71" s="10"/>
      <c r="K71" s="11" t="str">
        <f>IFERROR(VLOOKUP($J71,Спр_Дефекты!$A$4:$F$7,2,0),"")</f>
        <v/>
      </c>
      <c r="L71" s="11" t="str">
        <f>IFERROR(VLOOKUP($J71,Спр_Дефекты!$A$4:$F$7,3,0),"")</f>
        <v/>
      </c>
      <c r="M71" s="11" t="str">
        <f>IFERROR(VLOOKUP($J71,Спр_Дефекты!$A$4:$F$7,4,0),"")</f>
        <v/>
      </c>
      <c r="N71" s="11" t="str">
        <f>IFERROR(VLOOKUP($J71,Спр_Дефекты!$A$4:$F$7,5,0),"")</f>
        <v/>
      </c>
      <c r="O71" s="11" t="str">
        <f>IFERROR(VLOOKUP($J71,Спр_Дефекты!$A$4:$F$7,6,0),"")</f>
        <v/>
      </c>
      <c r="P71" s="10"/>
      <c r="Q71" s="10"/>
      <c r="R71" s="10"/>
      <c r="S71" s="10"/>
      <c r="T71" s="10"/>
      <c r="U71" s="10"/>
      <c r="V71" s="11" t="str">
        <f>IFERROR(VLOOKUP($E71,Спр_Опоры!$B$4:$J$70,9,0),"")</f>
        <v/>
      </c>
      <c r="W71" s="10"/>
    </row>
    <row r="72">
      <c r="A72" s="10"/>
      <c r="B72" s="10"/>
      <c r="C72" s="10"/>
      <c r="D72" s="10"/>
      <c r="E72" s="10"/>
      <c r="F72" s="11" t="str">
        <f>IFERROR(VLOOKUP($E72,Спр_Опоры!$B$4:$J$70,2,0),"")</f>
        <v/>
      </c>
      <c r="G72" s="11" t="str">
        <f>IFERROR(VLOOKUP($E72,Спр_Опоры!$B$4:$J$70,3,0),"")</f>
        <v/>
      </c>
      <c r="H72" s="10"/>
      <c r="I72" s="10"/>
      <c r="J72" s="10"/>
      <c r="K72" s="11" t="str">
        <f>IFERROR(VLOOKUP($J72,Спр_Дефекты!$A$4:$F$7,2,0),"")</f>
        <v/>
      </c>
      <c r="L72" s="11" t="str">
        <f>IFERROR(VLOOKUP($J72,Спр_Дефекты!$A$4:$F$7,3,0),"")</f>
        <v/>
      </c>
      <c r="M72" s="11" t="str">
        <f>IFERROR(VLOOKUP($J72,Спр_Дефекты!$A$4:$F$7,4,0),"")</f>
        <v/>
      </c>
      <c r="N72" s="11" t="str">
        <f>IFERROR(VLOOKUP($J72,Спр_Дефекты!$A$4:$F$7,5,0),"")</f>
        <v/>
      </c>
      <c r="O72" s="11" t="str">
        <f>IFERROR(VLOOKUP($J72,Спр_Дефекты!$A$4:$F$7,6,0),"")</f>
        <v/>
      </c>
      <c r="P72" s="10"/>
      <c r="Q72" s="10"/>
      <c r="R72" s="10"/>
      <c r="S72" s="10"/>
      <c r="T72" s="10"/>
      <c r="U72" s="10"/>
      <c r="V72" s="11" t="str">
        <f>IFERROR(VLOOKUP($E72,Спр_Опоры!$B$4:$J$70,9,0),"")</f>
        <v/>
      </c>
      <c r="W72" s="10"/>
    </row>
    <row r="73">
      <c r="A73" s="10"/>
      <c r="B73" s="10"/>
      <c r="C73" s="10"/>
      <c r="D73" s="10"/>
      <c r="E73" s="10"/>
      <c r="F73" s="11" t="str">
        <f>IFERROR(VLOOKUP($E73,Спр_Опоры!$B$4:$J$70,2,0),"")</f>
        <v/>
      </c>
      <c r="G73" s="11" t="str">
        <f>IFERROR(VLOOKUP($E73,Спр_Опоры!$B$4:$J$70,3,0),"")</f>
        <v/>
      </c>
      <c r="H73" s="10"/>
      <c r="I73" s="10"/>
      <c r="J73" s="10"/>
      <c r="K73" s="11" t="str">
        <f>IFERROR(VLOOKUP($J73,Спр_Дефекты!$A$4:$F$7,2,0),"")</f>
        <v/>
      </c>
      <c r="L73" s="11" t="str">
        <f>IFERROR(VLOOKUP($J73,Спр_Дефекты!$A$4:$F$7,3,0),"")</f>
        <v/>
      </c>
      <c r="M73" s="11" t="str">
        <f>IFERROR(VLOOKUP($J73,Спр_Дефекты!$A$4:$F$7,4,0),"")</f>
        <v/>
      </c>
      <c r="N73" s="11" t="str">
        <f>IFERROR(VLOOKUP($J73,Спр_Дефекты!$A$4:$F$7,5,0),"")</f>
        <v/>
      </c>
      <c r="O73" s="11" t="str">
        <f>IFERROR(VLOOKUP($J73,Спр_Дефекты!$A$4:$F$7,6,0),"")</f>
        <v/>
      </c>
      <c r="P73" s="10"/>
      <c r="Q73" s="10"/>
      <c r="R73" s="10"/>
      <c r="S73" s="10"/>
      <c r="T73" s="10"/>
      <c r="U73" s="10"/>
      <c r="V73" s="11" t="str">
        <f>IFERROR(VLOOKUP($E73,Спр_Опоры!$B$4:$J$70,9,0),"")</f>
        <v/>
      </c>
      <c r="W73" s="10"/>
    </row>
    <row r="74">
      <c r="A74" s="10"/>
      <c r="B74" s="10"/>
      <c r="C74" s="10"/>
      <c r="D74" s="10"/>
      <c r="E74" s="10"/>
      <c r="F74" s="11" t="str">
        <f>IFERROR(VLOOKUP($E74,Спр_Опоры!$B$4:$J$70,2,0),"")</f>
        <v/>
      </c>
      <c r="G74" s="11" t="str">
        <f>IFERROR(VLOOKUP($E74,Спр_Опоры!$B$4:$J$70,3,0),"")</f>
        <v/>
      </c>
      <c r="H74" s="10"/>
      <c r="I74" s="10"/>
      <c r="J74" s="10"/>
      <c r="K74" s="11" t="str">
        <f>IFERROR(VLOOKUP($J74,Спр_Дефекты!$A$4:$F$7,2,0),"")</f>
        <v/>
      </c>
      <c r="L74" s="11" t="str">
        <f>IFERROR(VLOOKUP($J74,Спр_Дефекты!$A$4:$F$7,3,0),"")</f>
        <v/>
      </c>
      <c r="M74" s="11" t="str">
        <f>IFERROR(VLOOKUP($J74,Спр_Дефекты!$A$4:$F$7,4,0),"")</f>
        <v/>
      </c>
      <c r="N74" s="11" t="str">
        <f>IFERROR(VLOOKUP($J74,Спр_Дефекты!$A$4:$F$7,5,0),"")</f>
        <v/>
      </c>
      <c r="O74" s="11" t="str">
        <f>IFERROR(VLOOKUP($J74,Спр_Дефекты!$A$4:$F$7,6,0),"")</f>
        <v/>
      </c>
      <c r="P74" s="10"/>
      <c r="Q74" s="10"/>
      <c r="R74" s="10"/>
      <c r="S74" s="10"/>
      <c r="T74" s="10"/>
      <c r="U74" s="10"/>
      <c r="V74" s="11" t="str">
        <f>IFERROR(VLOOKUP($E74,Спр_Опоры!$B$4:$J$70,9,0),"")</f>
        <v/>
      </c>
      <c r="W74" s="10"/>
    </row>
    <row r="75">
      <c r="A75" s="10"/>
      <c r="B75" s="10"/>
      <c r="C75" s="10"/>
      <c r="D75" s="10"/>
      <c r="E75" s="10"/>
      <c r="F75" s="11" t="str">
        <f>IFERROR(VLOOKUP($E75,Спр_Опоры!$B$4:$J$70,2,0),"")</f>
        <v/>
      </c>
      <c r="G75" s="11" t="str">
        <f>IFERROR(VLOOKUP($E75,Спр_Опоры!$B$4:$J$70,3,0),"")</f>
        <v/>
      </c>
      <c r="H75" s="10"/>
      <c r="I75" s="10"/>
      <c r="J75" s="10"/>
      <c r="K75" s="11" t="str">
        <f>IFERROR(VLOOKUP($J75,Спр_Дефекты!$A$4:$F$7,2,0),"")</f>
        <v/>
      </c>
      <c r="L75" s="11" t="str">
        <f>IFERROR(VLOOKUP($J75,Спр_Дефекты!$A$4:$F$7,3,0),"")</f>
        <v/>
      </c>
      <c r="M75" s="11" t="str">
        <f>IFERROR(VLOOKUP($J75,Спр_Дефекты!$A$4:$F$7,4,0),"")</f>
        <v/>
      </c>
      <c r="N75" s="11" t="str">
        <f>IFERROR(VLOOKUP($J75,Спр_Дефекты!$A$4:$F$7,5,0),"")</f>
        <v/>
      </c>
      <c r="O75" s="11" t="str">
        <f>IFERROR(VLOOKUP($J75,Спр_Дефекты!$A$4:$F$7,6,0),"")</f>
        <v/>
      </c>
      <c r="P75" s="10"/>
      <c r="Q75" s="10"/>
      <c r="R75" s="10"/>
      <c r="S75" s="10"/>
      <c r="T75" s="10"/>
      <c r="U75" s="10"/>
      <c r="V75" s="11" t="str">
        <f>IFERROR(VLOOKUP($E75,Спр_Опоры!$B$4:$J$70,9,0),"")</f>
        <v/>
      </c>
      <c r="W75" s="10"/>
    </row>
    <row r="76">
      <c r="A76" s="10"/>
      <c r="B76" s="10"/>
      <c r="C76" s="10"/>
      <c r="D76" s="10"/>
      <c r="E76" s="10"/>
      <c r="F76" s="11" t="str">
        <f>IFERROR(VLOOKUP($E76,Спр_Опоры!$B$4:$J$70,2,0),"")</f>
        <v/>
      </c>
      <c r="G76" s="11" t="str">
        <f>IFERROR(VLOOKUP($E76,Спр_Опоры!$B$4:$J$70,3,0),"")</f>
        <v/>
      </c>
      <c r="H76" s="10"/>
      <c r="I76" s="10"/>
      <c r="J76" s="10"/>
      <c r="K76" s="11" t="str">
        <f>IFERROR(VLOOKUP($J76,Спр_Дефекты!$A$4:$F$7,2,0),"")</f>
        <v/>
      </c>
      <c r="L76" s="11" t="str">
        <f>IFERROR(VLOOKUP($J76,Спр_Дефекты!$A$4:$F$7,3,0),"")</f>
        <v/>
      </c>
      <c r="M76" s="11" t="str">
        <f>IFERROR(VLOOKUP($J76,Спр_Дефекты!$A$4:$F$7,4,0),"")</f>
        <v/>
      </c>
      <c r="N76" s="11" t="str">
        <f>IFERROR(VLOOKUP($J76,Спр_Дефекты!$A$4:$F$7,5,0),"")</f>
        <v/>
      </c>
      <c r="O76" s="11" t="str">
        <f>IFERROR(VLOOKUP($J76,Спр_Дефекты!$A$4:$F$7,6,0),"")</f>
        <v/>
      </c>
      <c r="P76" s="10"/>
      <c r="Q76" s="10"/>
      <c r="R76" s="10"/>
      <c r="S76" s="10"/>
      <c r="T76" s="10"/>
      <c r="U76" s="10"/>
      <c r="V76" s="11" t="str">
        <f>IFERROR(VLOOKUP($E76,Спр_Опоры!$B$4:$J$70,9,0),"")</f>
        <v/>
      </c>
      <c r="W76" s="10"/>
    </row>
    <row r="77">
      <c r="A77" s="10"/>
      <c r="B77" s="10"/>
      <c r="C77" s="10"/>
      <c r="D77" s="10"/>
      <c r="E77" s="10"/>
      <c r="F77" s="11" t="str">
        <f>IFERROR(VLOOKUP($E77,Спр_Опоры!$B$4:$J$70,2,0),"")</f>
        <v/>
      </c>
      <c r="G77" s="11" t="str">
        <f>IFERROR(VLOOKUP($E77,Спр_Опоры!$B$4:$J$70,3,0),"")</f>
        <v/>
      </c>
      <c r="H77" s="10"/>
      <c r="I77" s="10"/>
      <c r="J77" s="10"/>
      <c r="K77" s="11" t="str">
        <f>IFERROR(VLOOKUP($J77,Спр_Дефекты!$A$4:$F$7,2,0),"")</f>
        <v/>
      </c>
      <c r="L77" s="11" t="str">
        <f>IFERROR(VLOOKUP($J77,Спр_Дефекты!$A$4:$F$7,3,0),"")</f>
        <v/>
      </c>
      <c r="M77" s="11" t="str">
        <f>IFERROR(VLOOKUP($J77,Спр_Дефекты!$A$4:$F$7,4,0),"")</f>
        <v/>
      </c>
      <c r="N77" s="11" t="str">
        <f>IFERROR(VLOOKUP($J77,Спр_Дефекты!$A$4:$F$7,5,0),"")</f>
        <v/>
      </c>
      <c r="O77" s="11" t="str">
        <f>IFERROR(VLOOKUP($J77,Спр_Дефекты!$A$4:$F$7,6,0),"")</f>
        <v/>
      </c>
      <c r="P77" s="10"/>
      <c r="Q77" s="10"/>
      <c r="R77" s="10"/>
      <c r="S77" s="10"/>
      <c r="T77" s="10"/>
      <c r="U77" s="10"/>
      <c r="V77" s="11" t="str">
        <f>IFERROR(VLOOKUP($E77,Спр_Опоры!$B$4:$J$70,9,0),"")</f>
        <v/>
      </c>
      <c r="W77" s="10"/>
    </row>
    <row r="78">
      <c r="A78" s="10"/>
      <c r="B78" s="10"/>
      <c r="C78" s="10"/>
      <c r="D78" s="10"/>
      <c r="E78" s="10"/>
      <c r="F78" s="11" t="str">
        <f>IFERROR(VLOOKUP($E78,Спр_Опоры!$B$4:$J$70,2,0),"")</f>
        <v/>
      </c>
      <c r="G78" s="11" t="str">
        <f>IFERROR(VLOOKUP($E78,Спр_Опоры!$B$4:$J$70,3,0),"")</f>
        <v/>
      </c>
      <c r="H78" s="10"/>
      <c r="I78" s="10"/>
      <c r="J78" s="10"/>
      <c r="K78" s="11" t="str">
        <f>IFERROR(VLOOKUP($J78,Спр_Дефекты!$A$4:$F$7,2,0),"")</f>
        <v/>
      </c>
      <c r="L78" s="11" t="str">
        <f>IFERROR(VLOOKUP($J78,Спр_Дефекты!$A$4:$F$7,3,0),"")</f>
        <v/>
      </c>
      <c r="M78" s="11" t="str">
        <f>IFERROR(VLOOKUP($J78,Спр_Дефекты!$A$4:$F$7,4,0),"")</f>
        <v/>
      </c>
      <c r="N78" s="11" t="str">
        <f>IFERROR(VLOOKUP($J78,Спр_Дефекты!$A$4:$F$7,5,0),"")</f>
        <v/>
      </c>
      <c r="O78" s="11" t="str">
        <f>IFERROR(VLOOKUP($J78,Спр_Дефекты!$A$4:$F$7,6,0),"")</f>
        <v/>
      </c>
      <c r="P78" s="10"/>
      <c r="Q78" s="10"/>
      <c r="R78" s="10"/>
      <c r="S78" s="10"/>
      <c r="T78" s="10"/>
      <c r="U78" s="10"/>
      <c r="V78" s="11" t="str">
        <f>IFERROR(VLOOKUP($E78,Спр_Опоры!$B$4:$J$70,9,0),"")</f>
        <v/>
      </c>
      <c r="W78" s="10"/>
    </row>
    <row r="79">
      <c r="A79" s="10"/>
      <c r="B79" s="10"/>
      <c r="C79" s="10"/>
      <c r="D79" s="10"/>
      <c r="E79" s="10"/>
      <c r="F79" s="11" t="str">
        <f>IFERROR(VLOOKUP($E79,Спр_Опоры!$B$4:$J$70,2,0),"")</f>
        <v/>
      </c>
      <c r="G79" s="11" t="str">
        <f>IFERROR(VLOOKUP($E79,Спр_Опоры!$B$4:$J$70,3,0),"")</f>
        <v/>
      </c>
      <c r="H79" s="10"/>
      <c r="I79" s="10"/>
      <c r="J79" s="10"/>
      <c r="K79" s="11" t="str">
        <f>IFERROR(VLOOKUP($J79,Спр_Дефекты!$A$4:$F$7,2,0),"")</f>
        <v/>
      </c>
      <c r="L79" s="11" t="str">
        <f>IFERROR(VLOOKUP($J79,Спр_Дефекты!$A$4:$F$7,3,0),"")</f>
        <v/>
      </c>
      <c r="M79" s="11" t="str">
        <f>IFERROR(VLOOKUP($J79,Спр_Дефекты!$A$4:$F$7,4,0),"")</f>
        <v/>
      </c>
      <c r="N79" s="11" t="str">
        <f>IFERROR(VLOOKUP($J79,Спр_Дефекты!$A$4:$F$7,5,0),"")</f>
        <v/>
      </c>
      <c r="O79" s="11" t="str">
        <f>IFERROR(VLOOKUP($J79,Спр_Дефекты!$A$4:$F$7,6,0),"")</f>
        <v/>
      </c>
      <c r="P79" s="10"/>
      <c r="Q79" s="10"/>
      <c r="R79" s="10"/>
      <c r="S79" s="10"/>
      <c r="T79" s="10"/>
      <c r="U79" s="10"/>
      <c r="V79" s="11" t="str">
        <f>IFERROR(VLOOKUP($E79,Спр_Опоры!$B$4:$J$70,9,0),"")</f>
        <v/>
      </c>
      <c r="W79" s="10"/>
    </row>
    <row r="80">
      <c r="A80" s="10"/>
      <c r="B80" s="10"/>
      <c r="C80" s="10"/>
      <c r="D80" s="10"/>
      <c r="E80" s="10"/>
      <c r="F80" s="11" t="str">
        <f>IFERROR(VLOOKUP($E80,Спр_Опоры!$B$4:$J$70,2,0),"")</f>
        <v/>
      </c>
      <c r="G80" s="11" t="str">
        <f>IFERROR(VLOOKUP($E80,Спр_Опоры!$B$4:$J$70,3,0),"")</f>
        <v/>
      </c>
      <c r="H80" s="10"/>
      <c r="I80" s="10"/>
      <c r="J80" s="10"/>
      <c r="K80" s="11" t="str">
        <f>IFERROR(VLOOKUP($J80,Спр_Дефекты!$A$4:$F$7,2,0),"")</f>
        <v/>
      </c>
      <c r="L80" s="11" t="str">
        <f>IFERROR(VLOOKUP($J80,Спр_Дефекты!$A$4:$F$7,3,0),"")</f>
        <v/>
      </c>
      <c r="M80" s="11" t="str">
        <f>IFERROR(VLOOKUP($J80,Спр_Дефекты!$A$4:$F$7,4,0),"")</f>
        <v/>
      </c>
      <c r="N80" s="11" t="str">
        <f>IFERROR(VLOOKUP($J80,Спр_Дефекты!$A$4:$F$7,5,0),"")</f>
        <v/>
      </c>
      <c r="O80" s="11" t="str">
        <f>IFERROR(VLOOKUP($J80,Спр_Дефекты!$A$4:$F$7,6,0),"")</f>
        <v/>
      </c>
      <c r="P80" s="10"/>
      <c r="Q80" s="10"/>
      <c r="R80" s="10"/>
      <c r="S80" s="10"/>
      <c r="T80" s="10"/>
      <c r="U80" s="10"/>
      <c r="V80" s="11" t="str">
        <f>IFERROR(VLOOKUP($E80,Спр_Опоры!$B$4:$J$70,9,0),"")</f>
        <v/>
      </c>
      <c r="W80" s="10"/>
    </row>
    <row r="81">
      <c r="A81" s="10"/>
      <c r="B81" s="10"/>
      <c r="C81" s="10"/>
      <c r="D81" s="10"/>
      <c r="E81" s="10"/>
      <c r="F81" s="11" t="str">
        <f>IFERROR(VLOOKUP($E81,Спр_Опоры!$B$4:$J$70,2,0),"")</f>
        <v/>
      </c>
      <c r="G81" s="11" t="str">
        <f>IFERROR(VLOOKUP($E81,Спр_Опоры!$B$4:$J$70,3,0),"")</f>
        <v/>
      </c>
      <c r="H81" s="10"/>
      <c r="I81" s="10"/>
      <c r="J81" s="10"/>
      <c r="K81" s="11" t="str">
        <f>IFERROR(VLOOKUP($J81,Спр_Дефекты!$A$4:$F$7,2,0),"")</f>
        <v/>
      </c>
      <c r="L81" s="11" t="str">
        <f>IFERROR(VLOOKUP($J81,Спр_Дефекты!$A$4:$F$7,3,0),"")</f>
        <v/>
      </c>
      <c r="M81" s="11" t="str">
        <f>IFERROR(VLOOKUP($J81,Спр_Дефекты!$A$4:$F$7,4,0),"")</f>
        <v/>
      </c>
      <c r="N81" s="11" t="str">
        <f>IFERROR(VLOOKUP($J81,Спр_Дефекты!$A$4:$F$7,5,0),"")</f>
        <v/>
      </c>
      <c r="O81" s="11" t="str">
        <f>IFERROR(VLOOKUP($J81,Спр_Дефекты!$A$4:$F$7,6,0),"")</f>
        <v/>
      </c>
      <c r="P81" s="10"/>
      <c r="Q81" s="10"/>
      <c r="R81" s="10"/>
      <c r="S81" s="10"/>
      <c r="T81" s="10"/>
      <c r="U81" s="10"/>
      <c r="V81" s="11" t="str">
        <f>IFERROR(VLOOKUP($E81,Спр_Опоры!$B$4:$J$70,9,0),"")</f>
        <v/>
      </c>
      <c r="W81" s="10"/>
    </row>
    <row r="82">
      <c r="A82" s="10"/>
      <c r="B82" s="10"/>
      <c r="C82" s="10"/>
      <c r="D82" s="10"/>
      <c r="E82" s="10"/>
      <c r="F82" s="11" t="str">
        <f>IFERROR(VLOOKUP($E82,Спр_Опоры!$B$4:$J$70,2,0),"")</f>
        <v/>
      </c>
      <c r="G82" s="11" t="str">
        <f>IFERROR(VLOOKUP($E82,Спр_Опоры!$B$4:$J$70,3,0),"")</f>
        <v/>
      </c>
      <c r="H82" s="10"/>
      <c r="I82" s="10"/>
      <c r="J82" s="10"/>
      <c r="K82" s="11" t="str">
        <f>IFERROR(VLOOKUP($J82,Спр_Дефекты!$A$4:$F$7,2,0),"")</f>
        <v/>
      </c>
      <c r="L82" s="11" t="str">
        <f>IFERROR(VLOOKUP($J82,Спр_Дефекты!$A$4:$F$7,3,0),"")</f>
        <v/>
      </c>
      <c r="M82" s="11" t="str">
        <f>IFERROR(VLOOKUP($J82,Спр_Дефекты!$A$4:$F$7,4,0),"")</f>
        <v/>
      </c>
      <c r="N82" s="11" t="str">
        <f>IFERROR(VLOOKUP($J82,Спр_Дефекты!$A$4:$F$7,5,0),"")</f>
        <v/>
      </c>
      <c r="O82" s="11" t="str">
        <f>IFERROR(VLOOKUP($J82,Спр_Дефекты!$A$4:$F$7,6,0),"")</f>
        <v/>
      </c>
      <c r="P82" s="10"/>
      <c r="Q82" s="10"/>
      <c r="R82" s="10"/>
      <c r="S82" s="10"/>
      <c r="T82" s="10"/>
      <c r="U82" s="10"/>
      <c r="V82" s="11" t="str">
        <f>IFERROR(VLOOKUP($E82,Спр_Опоры!$B$4:$J$70,9,0),"")</f>
        <v/>
      </c>
      <c r="W82" s="10"/>
    </row>
    <row r="83">
      <c r="A83" s="10"/>
      <c r="B83" s="10"/>
      <c r="C83" s="10"/>
      <c r="D83" s="10"/>
      <c r="E83" s="10"/>
      <c r="F83" s="11" t="str">
        <f>IFERROR(VLOOKUP($E83,Спр_Опоры!$B$4:$J$70,2,0),"")</f>
        <v/>
      </c>
      <c r="G83" s="11" t="str">
        <f>IFERROR(VLOOKUP($E83,Спр_Опоры!$B$4:$J$70,3,0),"")</f>
        <v/>
      </c>
      <c r="H83" s="10"/>
      <c r="I83" s="10"/>
      <c r="J83" s="10"/>
      <c r="K83" s="11" t="str">
        <f>IFERROR(VLOOKUP($J83,Спр_Дефекты!$A$4:$F$7,2,0),"")</f>
        <v/>
      </c>
      <c r="L83" s="11" t="str">
        <f>IFERROR(VLOOKUP($J83,Спр_Дефекты!$A$4:$F$7,3,0),"")</f>
        <v/>
      </c>
      <c r="M83" s="11" t="str">
        <f>IFERROR(VLOOKUP($J83,Спр_Дефекты!$A$4:$F$7,4,0),"")</f>
        <v/>
      </c>
      <c r="N83" s="11" t="str">
        <f>IFERROR(VLOOKUP($J83,Спр_Дефекты!$A$4:$F$7,5,0),"")</f>
        <v/>
      </c>
      <c r="O83" s="11" t="str">
        <f>IFERROR(VLOOKUP($J83,Спр_Дефекты!$A$4:$F$7,6,0),"")</f>
        <v/>
      </c>
      <c r="P83" s="10"/>
      <c r="Q83" s="10"/>
      <c r="R83" s="10"/>
      <c r="S83" s="10"/>
      <c r="T83" s="10"/>
      <c r="U83" s="10"/>
      <c r="V83" s="11" t="str">
        <f>IFERROR(VLOOKUP($E83,Спр_Опоры!$B$4:$J$70,9,0),"")</f>
        <v/>
      </c>
      <c r="W83" s="10"/>
    </row>
    <row r="84">
      <c r="A84" s="10"/>
      <c r="B84" s="10"/>
      <c r="C84" s="10"/>
      <c r="D84" s="10"/>
      <c r="E84" s="10"/>
      <c r="F84" s="11" t="str">
        <f>IFERROR(VLOOKUP($E84,Спр_Опоры!$B$4:$J$70,2,0),"")</f>
        <v/>
      </c>
      <c r="G84" s="11" t="str">
        <f>IFERROR(VLOOKUP($E84,Спр_Опоры!$B$4:$J$70,3,0),"")</f>
        <v/>
      </c>
      <c r="H84" s="10"/>
      <c r="I84" s="10"/>
      <c r="J84" s="10"/>
      <c r="K84" s="11" t="str">
        <f>IFERROR(VLOOKUP($J84,Спр_Дефекты!$A$4:$F$7,2,0),"")</f>
        <v/>
      </c>
      <c r="L84" s="11" t="str">
        <f>IFERROR(VLOOKUP($J84,Спр_Дефекты!$A$4:$F$7,3,0),"")</f>
        <v/>
      </c>
      <c r="M84" s="11" t="str">
        <f>IFERROR(VLOOKUP($J84,Спр_Дефекты!$A$4:$F$7,4,0),"")</f>
        <v/>
      </c>
      <c r="N84" s="11" t="str">
        <f>IFERROR(VLOOKUP($J84,Спр_Дефекты!$A$4:$F$7,5,0),"")</f>
        <v/>
      </c>
      <c r="O84" s="11" t="str">
        <f>IFERROR(VLOOKUP($J84,Спр_Дефекты!$A$4:$F$7,6,0),"")</f>
        <v/>
      </c>
      <c r="P84" s="10"/>
      <c r="Q84" s="10"/>
      <c r="R84" s="10"/>
      <c r="S84" s="10"/>
      <c r="T84" s="10"/>
      <c r="U84" s="10"/>
      <c r="V84" s="11" t="str">
        <f>IFERROR(VLOOKUP($E84,Спр_Опоры!$B$4:$J$70,9,0),"")</f>
        <v/>
      </c>
      <c r="W84" s="10"/>
    </row>
    <row r="85">
      <c r="A85" s="10"/>
      <c r="B85" s="10"/>
      <c r="C85" s="10"/>
      <c r="D85" s="10"/>
      <c r="E85" s="10"/>
      <c r="F85" s="11" t="str">
        <f>IFERROR(VLOOKUP($E85,Спр_Опоры!$B$4:$J$70,2,0),"")</f>
        <v/>
      </c>
      <c r="G85" s="11" t="str">
        <f>IFERROR(VLOOKUP($E85,Спр_Опоры!$B$4:$J$70,3,0),"")</f>
        <v/>
      </c>
      <c r="H85" s="10"/>
      <c r="I85" s="10"/>
      <c r="J85" s="10"/>
      <c r="K85" s="11" t="str">
        <f>IFERROR(VLOOKUP($J85,Спр_Дефекты!$A$4:$F$7,2,0),"")</f>
        <v/>
      </c>
      <c r="L85" s="11" t="str">
        <f>IFERROR(VLOOKUP($J85,Спр_Дефекты!$A$4:$F$7,3,0),"")</f>
        <v/>
      </c>
      <c r="M85" s="11" t="str">
        <f>IFERROR(VLOOKUP($J85,Спр_Дефекты!$A$4:$F$7,4,0),"")</f>
        <v/>
      </c>
      <c r="N85" s="11" t="str">
        <f>IFERROR(VLOOKUP($J85,Спр_Дефекты!$A$4:$F$7,5,0),"")</f>
        <v/>
      </c>
      <c r="O85" s="11" t="str">
        <f>IFERROR(VLOOKUP($J85,Спр_Дефекты!$A$4:$F$7,6,0),"")</f>
        <v/>
      </c>
      <c r="P85" s="10"/>
      <c r="Q85" s="10"/>
      <c r="R85" s="10"/>
      <c r="S85" s="10"/>
      <c r="T85" s="10"/>
      <c r="U85" s="10"/>
      <c r="V85" s="11" t="str">
        <f>IFERROR(VLOOKUP($E85,Спр_Опоры!$B$4:$J$70,9,0),"")</f>
        <v/>
      </c>
      <c r="W85" s="10"/>
    </row>
    <row r="86">
      <c r="A86" s="10"/>
      <c r="B86" s="10"/>
      <c r="C86" s="10"/>
      <c r="D86" s="10"/>
      <c r="E86" s="10"/>
      <c r="F86" s="11" t="str">
        <f>IFERROR(VLOOKUP($E86,Спр_Опоры!$B$4:$J$70,2,0),"")</f>
        <v/>
      </c>
      <c r="G86" s="11" t="str">
        <f>IFERROR(VLOOKUP($E86,Спр_Опоры!$B$4:$J$70,3,0),"")</f>
        <v/>
      </c>
      <c r="H86" s="10"/>
      <c r="I86" s="10"/>
      <c r="J86" s="10"/>
      <c r="K86" s="11" t="str">
        <f>IFERROR(VLOOKUP($J86,Спр_Дефекты!$A$4:$F$7,2,0),"")</f>
        <v/>
      </c>
      <c r="L86" s="11" t="str">
        <f>IFERROR(VLOOKUP($J86,Спр_Дефекты!$A$4:$F$7,3,0),"")</f>
        <v/>
      </c>
      <c r="M86" s="11" t="str">
        <f>IFERROR(VLOOKUP($J86,Спр_Дефекты!$A$4:$F$7,4,0),"")</f>
        <v/>
      </c>
      <c r="N86" s="11" t="str">
        <f>IFERROR(VLOOKUP($J86,Спр_Дефекты!$A$4:$F$7,5,0),"")</f>
        <v/>
      </c>
      <c r="O86" s="11" t="str">
        <f>IFERROR(VLOOKUP($J86,Спр_Дефекты!$A$4:$F$7,6,0),"")</f>
        <v/>
      </c>
      <c r="P86" s="10"/>
      <c r="Q86" s="10"/>
      <c r="R86" s="10"/>
      <c r="S86" s="10"/>
      <c r="T86" s="10"/>
      <c r="U86" s="10"/>
      <c r="V86" s="11" t="str">
        <f>IFERROR(VLOOKUP($E86,Спр_Опоры!$B$4:$J$70,9,0),"")</f>
        <v/>
      </c>
      <c r="W86" s="10"/>
    </row>
    <row r="87">
      <c r="A87" s="10"/>
      <c r="B87" s="10"/>
      <c r="C87" s="10"/>
      <c r="D87" s="10"/>
      <c r="E87" s="10"/>
      <c r="F87" s="11" t="str">
        <f>IFERROR(VLOOKUP($E87,Спр_Опоры!$B$4:$J$70,2,0),"")</f>
        <v/>
      </c>
      <c r="G87" s="11" t="str">
        <f>IFERROR(VLOOKUP($E87,Спр_Опоры!$B$4:$J$70,3,0),"")</f>
        <v/>
      </c>
      <c r="H87" s="10"/>
      <c r="I87" s="10"/>
      <c r="J87" s="10"/>
      <c r="K87" s="11" t="str">
        <f>IFERROR(VLOOKUP($J87,Спр_Дефекты!$A$4:$F$7,2,0),"")</f>
        <v/>
      </c>
      <c r="L87" s="11" t="str">
        <f>IFERROR(VLOOKUP($J87,Спр_Дефекты!$A$4:$F$7,3,0),"")</f>
        <v/>
      </c>
      <c r="M87" s="11" t="str">
        <f>IFERROR(VLOOKUP($J87,Спр_Дефекты!$A$4:$F$7,4,0),"")</f>
        <v/>
      </c>
      <c r="N87" s="11" t="str">
        <f>IFERROR(VLOOKUP($J87,Спр_Дефекты!$A$4:$F$7,5,0),"")</f>
        <v/>
      </c>
      <c r="O87" s="11" t="str">
        <f>IFERROR(VLOOKUP($J87,Спр_Дефекты!$A$4:$F$7,6,0),"")</f>
        <v/>
      </c>
      <c r="P87" s="10"/>
      <c r="Q87" s="10"/>
      <c r="R87" s="10"/>
      <c r="S87" s="10"/>
      <c r="T87" s="10"/>
      <c r="U87" s="10"/>
      <c r="V87" s="11" t="str">
        <f>IFERROR(VLOOKUP($E87,Спр_Опоры!$B$4:$J$70,9,0),"")</f>
        <v/>
      </c>
      <c r="W87" s="10"/>
    </row>
    <row r="88">
      <c r="A88" s="10"/>
      <c r="B88" s="10"/>
      <c r="C88" s="10"/>
      <c r="D88" s="10"/>
      <c r="E88" s="10"/>
      <c r="F88" s="11" t="str">
        <f>IFERROR(VLOOKUP($E88,Спр_Опоры!$B$4:$J$70,2,0),"")</f>
        <v/>
      </c>
      <c r="G88" s="11" t="str">
        <f>IFERROR(VLOOKUP($E88,Спр_Опоры!$B$4:$J$70,3,0),"")</f>
        <v/>
      </c>
      <c r="H88" s="10"/>
      <c r="I88" s="10"/>
      <c r="J88" s="10"/>
      <c r="K88" s="11" t="str">
        <f>IFERROR(VLOOKUP($J88,Спр_Дефекты!$A$4:$F$7,2,0),"")</f>
        <v/>
      </c>
      <c r="L88" s="11" t="str">
        <f>IFERROR(VLOOKUP($J88,Спр_Дефекты!$A$4:$F$7,3,0),"")</f>
        <v/>
      </c>
      <c r="M88" s="11" t="str">
        <f>IFERROR(VLOOKUP($J88,Спр_Дефекты!$A$4:$F$7,4,0),"")</f>
        <v/>
      </c>
      <c r="N88" s="11" t="str">
        <f>IFERROR(VLOOKUP($J88,Спр_Дефекты!$A$4:$F$7,5,0),"")</f>
        <v/>
      </c>
      <c r="O88" s="11" t="str">
        <f>IFERROR(VLOOKUP($J88,Спр_Дефекты!$A$4:$F$7,6,0),"")</f>
        <v/>
      </c>
      <c r="P88" s="10"/>
      <c r="Q88" s="10"/>
      <c r="R88" s="10"/>
      <c r="S88" s="10"/>
      <c r="T88" s="10"/>
      <c r="U88" s="10"/>
      <c r="V88" s="11" t="str">
        <f>IFERROR(VLOOKUP($E88,Спр_Опоры!$B$4:$J$70,9,0),"")</f>
        <v/>
      </c>
      <c r="W88" s="10"/>
    </row>
    <row r="89">
      <c r="A89" s="10"/>
      <c r="B89" s="10"/>
      <c r="C89" s="10"/>
      <c r="D89" s="10"/>
      <c r="E89" s="10"/>
      <c r="F89" s="11" t="str">
        <f>IFERROR(VLOOKUP($E89,Спр_Опоры!$B$4:$J$70,2,0),"")</f>
        <v/>
      </c>
      <c r="G89" s="11" t="str">
        <f>IFERROR(VLOOKUP($E89,Спр_Опоры!$B$4:$J$70,3,0),"")</f>
        <v/>
      </c>
      <c r="H89" s="10"/>
      <c r="I89" s="10"/>
      <c r="J89" s="10"/>
      <c r="K89" s="11" t="str">
        <f>IFERROR(VLOOKUP($J89,Спр_Дефекты!$A$4:$F$7,2,0),"")</f>
        <v/>
      </c>
      <c r="L89" s="11" t="str">
        <f>IFERROR(VLOOKUP($J89,Спр_Дефекты!$A$4:$F$7,3,0),"")</f>
        <v/>
      </c>
      <c r="M89" s="11" t="str">
        <f>IFERROR(VLOOKUP($J89,Спр_Дефекты!$A$4:$F$7,4,0),"")</f>
        <v/>
      </c>
      <c r="N89" s="11" t="str">
        <f>IFERROR(VLOOKUP($J89,Спр_Дефекты!$A$4:$F$7,5,0),"")</f>
        <v/>
      </c>
      <c r="O89" s="11" t="str">
        <f>IFERROR(VLOOKUP($J89,Спр_Дефекты!$A$4:$F$7,6,0),"")</f>
        <v/>
      </c>
      <c r="P89" s="10"/>
      <c r="Q89" s="10"/>
      <c r="R89" s="10"/>
      <c r="S89" s="10"/>
      <c r="T89" s="10"/>
      <c r="U89" s="10"/>
      <c r="V89" s="11" t="str">
        <f>IFERROR(VLOOKUP($E89,Спр_Опоры!$B$4:$J$70,9,0),"")</f>
        <v/>
      </c>
      <c r="W89" s="10"/>
    </row>
    <row r="90">
      <c r="A90" s="10"/>
      <c r="B90" s="10"/>
      <c r="C90" s="10"/>
      <c r="D90" s="10"/>
      <c r="E90" s="10"/>
      <c r="F90" s="11" t="str">
        <f>IFERROR(VLOOKUP($E90,Спр_Опоры!$B$4:$J$70,2,0),"")</f>
        <v/>
      </c>
      <c r="G90" s="11" t="str">
        <f>IFERROR(VLOOKUP($E90,Спр_Опоры!$B$4:$J$70,3,0),"")</f>
        <v/>
      </c>
      <c r="H90" s="10"/>
      <c r="I90" s="10"/>
      <c r="J90" s="10"/>
      <c r="K90" s="11" t="str">
        <f>IFERROR(VLOOKUP($J90,Спр_Дефекты!$A$4:$F$7,2,0),"")</f>
        <v/>
      </c>
      <c r="L90" s="11" t="str">
        <f>IFERROR(VLOOKUP($J90,Спр_Дефекты!$A$4:$F$7,3,0),"")</f>
        <v/>
      </c>
      <c r="M90" s="11" t="str">
        <f>IFERROR(VLOOKUP($J90,Спр_Дефекты!$A$4:$F$7,4,0),"")</f>
        <v/>
      </c>
      <c r="N90" s="11" t="str">
        <f>IFERROR(VLOOKUP($J90,Спр_Дефекты!$A$4:$F$7,5,0),"")</f>
        <v/>
      </c>
      <c r="O90" s="11" t="str">
        <f>IFERROR(VLOOKUP($J90,Спр_Дефекты!$A$4:$F$7,6,0),"")</f>
        <v/>
      </c>
      <c r="P90" s="10"/>
      <c r="Q90" s="10"/>
      <c r="R90" s="10"/>
      <c r="S90" s="10"/>
      <c r="T90" s="10"/>
      <c r="U90" s="10"/>
      <c r="V90" s="11" t="str">
        <f>IFERROR(VLOOKUP($E90,Спр_Опоры!$B$4:$J$70,9,0),"")</f>
        <v/>
      </c>
      <c r="W90" s="10"/>
    </row>
    <row r="91">
      <c r="A91" s="10"/>
      <c r="B91" s="10"/>
      <c r="C91" s="10"/>
      <c r="D91" s="10"/>
      <c r="E91" s="10"/>
      <c r="F91" s="11" t="str">
        <f>IFERROR(VLOOKUP($E91,Спр_Опоры!$B$4:$J$70,2,0),"")</f>
        <v/>
      </c>
      <c r="G91" s="11" t="str">
        <f>IFERROR(VLOOKUP($E91,Спр_Опоры!$B$4:$J$70,3,0),"")</f>
        <v/>
      </c>
      <c r="H91" s="10"/>
      <c r="I91" s="10"/>
      <c r="J91" s="10"/>
      <c r="K91" s="11" t="str">
        <f>IFERROR(VLOOKUP($J91,Спр_Дефекты!$A$4:$F$7,2,0),"")</f>
        <v/>
      </c>
      <c r="L91" s="11" t="str">
        <f>IFERROR(VLOOKUP($J91,Спр_Дефекты!$A$4:$F$7,3,0),"")</f>
        <v/>
      </c>
      <c r="M91" s="11" t="str">
        <f>IFERROR(VLOOKUP($J91,Спр_Дефекты!$A$4:$F$7,4,0),"")</f>
        <v/>
      </c>
      <c r="N91" s="11" t="str">
        <f>IFERROR(VLOOKUP($J91,Спр_Дефекты!$A$4:$F$7,5,0),"")</f>
        <v/>
      </c>
      <c r="O91" s="11" t="str">
        <f>IFERROR(VLOOKUP($J91,Спр_Дефекты!$A$4:$F$7,6,0),"")</f>
        <v/>
      </c>
      <c r="P91" s="10"/>
      <c r="Q91" s="10"/>
      <c r="R91" s="10"/>
      <c r="S91" s="10"/>
      <c r="T91" s="10"/>
      <c r="U91" s="10"/>
      <c r="V91" s="11" t="str">
        <f>IFERROR(VLOOKUP($E91,Спр_Опоры!$B$4:$J$70,9,0),"")</f>
        <v/>
      </c>
      <c r="W91" s="10"/>
    </row>
    <row r="92">
      <c r="A92" s="10"/>
      <c r="B92" s="10"/>
      <c r="C92" s="10"/>
      <c r="D92" s="10"/>
      <c r="E92" s="10"/>
      <c r="F92" s="11" t="str">
        <f>IFERROR(VLOOKUP($E92,Спр_Опоры!$B$4:$J$70,2,0),"")</f>
        <v/>
      </c>
      <c r="G92" s="11" t="str">
        <f>IFERROR(VLOOKUP($E92,Спр_Опоры!$B$4:$J$70,3,0),"")</f>
        <v/>
      </c>
      <c r="H92" s="10"/>
      <c r="I92" s="10"/>
      <c r="J92" s="10"/>
      <c r="K92" s="11" t="str">
        <f>IFERROR(VLOOKUP($J92,Спр_Дефекты!$A$4:$F$7,2,0),"")</f>
        <v/>
      </c>
      <c r="L92" s="11" t="str">
        <f>IFERROR(VLOOKUP($J92,Спр_Дефекты!$A$4:$F$7,3,0),"")</f>
        <v/>
      </c>
      <c r="M92" s="11" t="str">
        <f>IFERROR(VLOOKUP($J92,Спр_Дефекты!$A$4:$F$7,4,0),"")</f>
        <v/>
      </c>
      <c r="N92" s="11" t="str">
        <f>IFERROR(VLOOKUP($J92,Спр_Дефекты!$A$4:$F$7,5,0),"")</f>
        <v/>
      </c>
      <c r="O92" s="11" t="str">
        <f>IFERROR(VLOOKUP($J92,Спр_Дефекты!$A$4:$F$7,6,0),"")</f>
        <v/>
      </c>
      <c r="P92" s="10"/>
      <c r="Q92" s="10"/>
      <c r="R92" s="10"/>
      <c r="S92" s="10"/>
      <c r="T92" s="10"/>
      <c r="U92" s="10"/>
      <c r="V92" s="11" t="str">
        <f>IFERROR(VLOOKUP($E92,Спр_Опоры!$B$4:$J$70,9,0),"")</f>
        <v/>
      </c>
      <c r="W92" s="10"/>
    </row>
    <row r="93">
      <c r="A93" s="10"/>
      <c r="B93" s="10"/>
      <c r="C93" s="10"/>
      <c r="D93" s="10"/>
      <c r="E93" s="10"/>
      <c r="F93" s="11" t="str">
        <f>IFERROR(VLOOKUP($E93,Спр_Опоры!$B$4:$J$70,2,0),"")</f>
        <v/>
      </c>
      <c r="G93" s="11" t="str">
        <f>IFERROR(VLOOKUP($E93,Спр_Опоры!$B$4:$J$70,3,0),"")</f>
        <v/>
      </c>
      <c r="H93" s="10"/>
      <c r="I93" s="10"/>
      <c r="J93" s="10"/>
      <c r="K93" s="11" t="str">
        <f>IFERROR(VLOOKUP($J93,Спр_Дефекты!$A$4:$F$7,2,0),"")</f>
        <v/>
      </c>
      <c r="L93" s="11" t="str">
        <f>IFERROR(VLOOKUP($J93,Спр_Дефекты!$A$4:$F$7,3,0),"")</f>
        <v/>
      </c>
      <c r="M93" s="11" t="str">
        <f>IFERROR(VLOOKUP($J93,Спр_Дефекты!$A$4:$F$7,4,0),"")</f>
        <v/>
      </c>
      <c r="N93" s="11" t="str">
        <f>IFERROR(VLOOKUP($J93,Спр_Дефекты!$A$4:$F$7,5,0),"")</f>
        <v/>
      </c>
      <c r="O93" s="11" t="str">
        <f>IFERROR(VLOOKUP($J93,Спр_Дефекты!$A$4:$F$7,6,0),"")</f>
        <v/>
      </c>
      <c r="P93" s="10"/>
      <c r="Q93" s="10"/>
      <c r="R93" s="10"/>
      <c r="S93" s="10"/>
      <c r="T93" s="10"/>
      <c r="U93" s="10"/>
      <c r="V93" s="11" t="str">
        <f>IFERROR(VLOOKUP($E93,Спр_Опоры!$B$4:$J$70,9,0),"")</f>
        <v/>
      </c>
      <c r="W93" s="10"/>
    </row>
    <row r="94">
      <c r="A94" s="10"/>
      <c r="B94" s="10"/>
      <c r="C94" s="10"/>
      <c r="D94" s="10"/>
      <c r="E94" s="10"/>
      <c r="F94" s="11" t="str">
        <f>IFERROR(VLOOKUP($E94,Спр_Опоры!$B$4:$J$70,2,0),"")</f>
        <v/>
      </c>
      <c r="G94" s="11" t="str">
        <f>IFERROR(VLOOKUP($E94,Спр_Опоры!$B$4:$J$70,3,0),"")</f>
        <v/>
      </c>
      <c r="H94" s="10"/>
      <c r="I94" s="10"/>
      <c r="J94" s="10"/>
      <c r="K94" s="11" t="str">
        <f>IFERROR(VLOOKUP($J94,Спр_Дефекты!$A$4:$F$7,2,0),"")</f>
        <v/>
      </c>
      <c r="L94" s="11" t="str">
        <f>IFERROR(VLOOKUP($J94,Спр_Дефекты!$A$4:$F$7,3,0),"")</f>
        <v/>
      </c>
      <c r="M94" s="11" t="str">
        <f>IFERROR(VLOOKUP($J94,Спр_Дефекты!$A$4:$F$7,4,0),"")</f>
        <v/>
      </c>
      <c r="N94" s="11" t="str">
        <f>IFERROR(VLOOKUP($J94,Спр_Дефекты!$A$4:$F$7,5,0),"")</f>
        <v/>
      </c>
      <c r="O94" s="11" t="str">
        <f>IFERROR(VLOOKUP($J94,Спр_Дефекты!$A$4:$F$7,6,0),"")</f>
        <v/>
      </c>
      <c r="P94" s="10"/>
      <c r="Q94" s="10"/>
      <c r="R94" s="10"/>
      <c r="S94" s="10"/>
      <c r="T94" s="10"/>
      <c r="U94" s="10"/>
      <c r="V94" s="11" t="str">
        <f>IFERROR(VLOOKUP($E94,Спр_Опоры!$B$4:$J$70,9,0),"")</f>
        <v/>
      </c>
      <c r="W94" s="10"/>
    </row>
    <row r="95">
      <c r="A95" s="10"/>
      <c r="B95" s="10"/>
      <c r="C95" s="10"/>
      <c r="D95" s="10"/>
      <c r="E95" s="10"/>
      <c r="F95" s="11" t="str">
        <f>IFERROR(VLOOKUP($E95,Спр_Опоры!$B$4:$J$70,2,0),"")</f>
        <v/>
      </c>
      <c r="G95" s="11" t="str">
        <f>IFERROR(VLOOKUP($E95,Спр_Опоры!$B$4:$J$70,3,0),"")</f>
        <v/>
      </c>
      <c r="H95" s="10"/>
      <c r="I95" s="10"/>
      <c r="J95" s="10"/>
      <c r="K95" s="11" t="str">
        <f>IFERROR(VLOOKUP($J95,Спр_Дефекты!$A$4:$F$7,2,0),"")</f>
        <v/>
      </c>
      <c r="L95" s="11" t="str">
        <f>IFERROR(VLOOKUP($J95,Спр_Дефекты!$A$4:$F$7,3,0),"")</f>
        <v/>
      </c>
      <c r="M95" s="11" t="str">
        <f>IFERROR(VLOOKUP($J95,Спр_Дефекты!$A$4:$F$7,4,0),"")</f>
        <v/>
      </c>
      <c r="N95" s="11" t="str">
        <f>IFERROR(VLOOKUP($J95,Спр_Дефекты!$A$4:$F$7,5,0),"")</f>
        <v/>
      </c>
      <c r="O95" s="11" t="str">
        <f>IFERROR(VLOOKUP($J95,Спр_Дефекты!$A$4:$F$7,6,0),"")</f>
        <v/>
      </c>
      <c r="P95" s="10"/>
      <c r="Q95" s="10"/>
      <c r="R95" s="10"/>
      <c r="S95" s="10"/>
      <c r="T95" s="10"/>
      <c r="U95" s="10"/>
      <c r="V95" s="11" t="str">
        <f>IFERROR(VLOOKUP($E95,Спр_Опоры!$B$4:$J$70,9,0),"")</f>
        <v/>
      </c>
      <c r="W95" s="10"/>
    </row>
    <row r="96">
      <c r="A96" s="10"/>
      <c r="B96" s="10"/>
      <c r="C96" s="10"/>
      <c r="D96" s="10"/>
      <c r="E96" s="10"/>
      <c r="F96" s="11" t="str">
        <f>IFERROR(VLOOKUP($E96,Спр_Опоры!$B$4:$J$70,2,0),"")</f>
        <v/>
      </c>
      <c r="G96" s="11" t="str">
        <f>IFERROR(VLOOKUP($E96,Спр_Опоры!$B$4:$J$70,3,0),"")</f>
        <v/>
      </c>
      <c r="H96" s="10"/>
      <c r="I96" s="10"/>
      <c r="J96" s="10"/>
      <c r="K96" s="11" t="str">
        <f>IFERROR(VLOOKUP($J96,Спр_Дефекты!$A$4:$F$7,2,0),"")</f>
        <v/>
      </c>
      <c r="L96" s="11" t="str">
        <f>IFERROR(VLOOKUP($J96,Спр_Дефекты!$A$4:$F$7,3,0),"")</f>
        <v/>
      </c>
      <c r="M96" s="11" t="str">
        <f>IFERROR(VLOOKUP($J96,Спр_Дефекты!$A$4:$F$7,4,0),"")</f>
        <v/>
      </c>
      <c r="N96" s="11" t="str">
        <f>IFERROR(VLOOKUP($J96,Спр_Дефекты!$A$4:$F$7,5,0),"")</f>
        <v/>
      </c>
      <c r="O96" s="11" t="str">
        <f>IFERROR(VLOOKUP($J96,Спр_Дефекты!$A$4:$F$7,6,0),"")</f>
        <v/>
      </c>
      <c r="P96" s="10"/>
      <c r="Q96" s="10"/>
      <c r="R96" s="10"/>
      <c r="S96" s="10"/>
      <c r="T96" s="10"/>
      <c r="U96" s="10"/>
      <c r="V96" s="11" t="str">
        <f>IFERROR(VLOOKUP($E96,Спр_Опоры!$B$4:$J$70,9,0),"")</f>
        <v/>
      </c>
      <c r="W96" s="10"/>
    </row>
    <row r="97">
      <c r="A97" s="10"/>
      <c r="B97" s="10"/>
      <c r="C97" s="10"/>
      <c r="D97" s="10"/>
      <c r="E97" s="10"/>
      <c r="F97" s="11" t="str">
        <f>IFERROR(VLOOKUP($E97,Спр_Опоры!$B$4:$J$70,2,0),"")</f>
        <v/>
      </c>
      <c r="G97" s="11" t="str">
        <f>IFERROR(VLOOKUP($E97,Спр_Опоры!$B$4:$J$70,3,0),"")</f>
        <v/>
      </c>
      <c r="H97" s="10"/>
      <c r="I97" s="10"/>
      <c r="J97" s="10"/>
      <c r="K97" s="11" t="str">
        <f>IFERROR(VLOOKUP($J97,Спр_Дефекты!$A$4:$F$7,2,0),"")</f>
        <v/>
      </c>
      <c r="L97" s="11" t="str">
        <f>IFERROR(VLOOKUP($J97,Спр_Дефекты!$A$4:$F$7,3,0),"")</f>
        <v/>
      </c>
      <c r="M97" s="11" t="str">
        <f>IFERROR(VLOOKUP($J97,Спр_Дефекты!$A$4:$F$7,4,0),"")</f>
        <v/>
      </c>
      <c r="N97" s="11" t="str">
        <f>IFERROR(VLOOKUP($J97,Спр_Дефекты!$A$4:$F$7,5,0),"")</f>
        <v/>
      </c>
      <c r="O97" s="11" t="str">
        <f>IFERROR(VLOOKUP($J97,Спр_Дефекты!$A$4:$F$7,6,0),"")</f>
        <v/>
      </c>
      <c r="P97" s="10"/>
      <c r="Q97" s="10"/>
      <c r="R97" s="10"/>
      <c r="S97" s="10"/>
      <c r="T97" s="10"/>
      <c r="U97" s="10"/>
      <c r="V97" s="11" t="str">
        <f>IFERROR(VLOOKUP($E97,Спр_Опоры!$B$4:$J$70,9,0),"")</f>
        <v/>
      </c>
      <c r="W97" s="10"/>
    </row>
    <row r="98">
      <c r="A98" s="10"/>
      <c r="B98" s="10"/>
      <c r="C98" s="10"/>
      <c r="D98" s="10"/>
      <c r="E98" s="10"/>
      <c r="F98" s="11" t="str">
        <f>IFERROR(VLOOKUP($E98,Спр_Опоры!$B$4:$J$70,2,0),"")</f>
        <v/>
      </c>
      <c r="G98" s="11" t="str">
        <f>IFERROR(VLOOKUP($E98,Спр_Опоры!$B$4:$J$70,3,0),"")</f>
        <v/>
      </c>
      <c r="H98" s="10"/>
      <c r="I98" s="10"/>
      <c r="J98" s="10"/>
      <c r="K98" s="11" t="str">
        <f>IFERROR(VLOOKUP($J98,Спр_Дефекты!$A$4:$F$7,2,0),"")</f>
        <v/>
      </c>
      <c r="L98" s="11" t="str">
        <f>IFERROR(VLOOKUP($J98,Спр_Дефекты!$A$4:$F$7,3,0),"")</f>
        <v/>
      </c>
      <c r="M98" s="11" t="str">
        <f>IFERROR(VLOOKUP($J98,Спр_Дефекты!$A$4:$F$7,4,0),"")</f>
        <v/>
      </c>
      <c r="N98" s="11" t="str">
        <f>IFERROR(VLOOKUP($J98,Спр_Дефекты!$A$4:$F$7,5,0),"")</f>
        <v/>
      </c>
      <c r="O98" s="11" t="str">
        <f>IFERROR(VLOOKUP($J98,Спр_Дефекты!$A$4:$F$7,6,0),"")</f>
        <v/>
      </c>
      <c r="P98" s="10"/>
      <c r="Q98" s="10"/>
      <c r="R98" s="10"/>
      <c r="S98" s="10"/>
      <c r="T98" s="10"/>
      <c r="U98" s="10"/>
      <c r="V98" s="11" t="str">
        <f>IFERROR(VLOOKUP($E98,Спр_Опоры!$B$4:$J$70,9,0),"")</f>
        <v/>
      </c>
      <c r="W98" s="10"/>
    </row>
    <row r="99">
      <c r="A99" s="10"/>
      <c r="B99" s="10"/>
      <c r="C99" s="10"/>
      <c r="D99" s="10"/>
      <c r="E99" s="10"/>
      <c r="F99" s="11" t="str">
        <f>IFERROR(VLOOKUP($E99,Спр_Опоры!$B$4:$J$70,2,0),"")</f>
        <v/>
      </c>
      <c r="G99" s="11" t="str">
        <f>IFERROR(VLOOKUP($E99,Спр_Опоры!$B$4:$J$70,3,0),"")</f>
        <v/>
      </c>
      <c r="H99" s="10"/>
      <c r="I99" s="10"/>
      <c r="J99" s="10"/>
      <c r="K99" s="11" t="str">
        <f>IFERROR(VLOOKUP($J99,Спр_Дефекты!$A$4:$F$7,2,0),"")</f>
        <v/>
      </c>
      <c r="L99" s="11" t="str">
        <f>IFERROR(VLOOKUP($J99,Спр_Дефекты!$A$4:$F$7,3,0),"")</f>
        <v/>
      </c>
      <c r="M99" s="11" t="str">
        <f>IFERROR(VLOOKUP($J99,Спр_Дефекты!$A$4:$F$7,4,0),"")</f>
        <v/>
      </c>
      <c r="N99" s="11" t="str">
        <f>IFERROR(VLOOKUP($J99,Спр_Дефекты!$A$4:$F$7,5,0),"")</f>
        <v/>
      </c>
      <c r="O99" s="11" t="str">
        <f>IFERROR(VLOOKUP($J99,Спр_Дефекты!$A$4:$F$7,6,0),"")</f>
        <v/>
      </c>
      <c r="P99" s="10"/>
      <c r="Q99" s="10"/>
      <c r="R99" s="10"/>
      <c r="S99" s="10"/>
      <c r="T99" s="10"/>
      <c r="U99" s="10"/>
      <c r="V99" s="11" t="str">
        <f>IFERROR(VLOOKUP($E99,Спр_Опоры!$B$4:$J$70,9,0),"")</f>
        <v/>
      </c>
      <c r="W99" s="10"/>
    </row>
    <row r="100">
      <c r="A100" s="10"/>
      <c r="B100" s="10"/>
      <c r="C100" s="10"/>
      <c r="D100" s="10"/>
      <c r="E100" s="10"/>
      <c r="F100" s="11" t="str">
        <f>IFERROR(VLOOKUP($E100,Спр_Опоры!$B$4:$J$70,2,0),"")</f>
        <v/>
      </c>
      <c r="G100" s="11" t="str">
        <f>IFERROR(VLOOKUP($E100,Спр_Опоры!$B$4:$J$70,3,0),"")</f>
        <v/>
      </c>
      <c r="H100" s="10"/>
      <c r="I100" s="10"/>
      <c r="J100" s="10"/>
      <c r="K100" s="11" t="str">
        <f>IFERROR(VLOOKUP($J100,Спр_Дефекты!$A$4:$F$7,2,0),"")</f>
        <v/>
      </c>
      <c r="L100" s="11" t="str">
        <f>IFERROR(VLOOKUP($J100,Спр_Дефекты!$A$4:$F$7,3,0),"")</f>
        <v/>
      </c>
      <c r="M100" s="11" t="str">
        <f>IFERROR(VLOOKUP($J100,Спр_Дефекты!$A$4:$F$7,4,0),"")</f>
        <v/>
      </c>
      <c r="N100" s="11" t="str">
        <f>IFERROR(VLOOKUP($J100,Спр_Дефекты!$A$4:$F$7,5,0),"")</f>
        <v/>
      </c>
      <c r="O100" s="11" t="str">
        <f>IFERROR(VLOOKUP($J100,Спр_Дефекты!$A$4:$F$7,6,0),"")</f>
        <v/>
      </c>
      <c r="P100" s="10"/>
      <c r="Q100" s="10"/>
      <c r="R100" s="10"/>
      <c r="S100" s="10"/>
      <c r="T100" s="10"/>
      <c r="U100" s="10"/>
      <c r="V100" s="11" t="str">
        <f>IFERROR(VLOOKUP($E100,Спр_Опоры!$B$4:$J$70,9,0),"")</f>
        <v/>
      </c>
      <c r="W100" s="10"/>
    </row>
    <row r="101">
      <c r="A101" s="10"/>
      <c r="B101" s="10"/>
      <c r="C101" s="10"/>
      <c r="D101" s="10"/>
      <c r="E101" s="10"/>
      <c r="F101" s="11" t="str">
        <f>IFERROR(VLOOKUP($E101,Спр_Опоры!$B$4:$J$70,2,0),"")</f>
        <v/>
      </c>
      <c r="G101" s="11" t="str">
        <f>IFERROR(VLOOKUP($E101,Спр_Опоры!$B$4:$J$70,3,0),"")</f>
        <v/>
      </c>
      <c r="H101" s="10"/>
      <c r="I101" s="10"/>
      <c r="J101" s="10"/>
      <c r="K101" s="11" t="str">
        <f>IFERROR(VLOOKUP($J101,Спр_Дефекты!$A$4:$F$7,2,0),"")</f>
        <v/>
      </c>
      <c r="L101" s="11" t="str">
        <f>IFERROR(VLOOKUP($J101,Спр_Дефекты!$A$4:$F$7,3,0),"")</f>
        <v/>
      </c>
      <c r="M101" s="11" t="str">
        <f>IFERROR(VLOOKUP($J101,Спр_Дефекты!$A$4:$F$7,4,0),"")</f>
        <v/>
      </c>
      <c r="N101" s="11" t="str">
        <f>IFERROR(VLOOKUP($J101,Спр_Дефекты!$A$4:$F$7,5,0),"")</f>
        <v/>
      </c>
      <c r="O101" s="11" t="str">
        <f>IFERROR(VLOOKUP($J101,Спр_Дефекты!$A$4:$F$7,6,0),"")</f>
        <v/>
      </c>
      <c r="P101" s="10"/>
      <c r="Q101" s="10"/>
      <c r="R101" s="10"/>
      <c r="S101" s="10"/>
      <c r="T101" s="10"/>
      <c r="U101" s="10"/>
      <c r="V101" s="11" t="str">
        <f>IFERROR(VLOOKUP($E101,Спр_Опоры!$B$4:$J$70,9,0),"")</f>
        <v/>
      </c>
      <c r="W101" s="10"/>
    </row>
    <row r="102">
      <c r="A102" s="10"/>
      <c r="B102" s="10"/>
      <c r="C102" s="10"/>
      <c r="D102" s="10"/>
      <c r="E102" s="10"/>
      <c r="F102" s="11" t="str">
        <f>IFERROR(VLOOKUP($E102,Спр_Опоры!$B$4:$J$70,2,0),"")</f>
        <v/>
      </c>
      <c r="G102" s="11" t="str">
        <f>IFERROR(VLOOKUP($E102,Спр_Опоры!$B$4:$J$70,3,0),"")</f>
        <v/>
      </c>
      <c r="H102" s="10"/>
      <c r="I102" s="10"/>
      <c r="J102" s="10"/>
      <c r="K102" s="11" t="str">
        <f>IFERROR(VLOOKUP($J102,Спр_Дефекты!$A$4:$F$7,2,0),"")</f>
        <v/>
      </c>
      <c r="L102" s="11" t="str">
        <f>IFERROR(VLOOKUP($J102,Спр_Дефекты!$A$4:$F$7,3,0),"")</f>
        <v/>
      </c>
      <c r="M102" s="11" t="str">
        <f>IFERROR(VLOOKUP($J102,Спр_Дефекты!$A$4:$F$7,4,0),"")</f>
        <v/>
      </c>
      <c r="N102" s="11" t="str">
        <f>IFERROR(VLOOKUP($J102,Спр_Дефекты!$A$4:$F$7,5,0),"")</f>
        <v/>
      </c>
      <c r="O102" s="11" t="str">
        <f>IFERROR(VLOOKUP($J102,Спр_Дефекты!$A$4:$F$7,6,0),"")</f>
        <v/>
      </c>
      <c r="P102" s="10"/>
      <c r="Q102" s="10"/>
      <c r="R102" s="10"/>
      <c r="S102" s="10"/>
      <c r="T102" s="10"/>
      <c r="U102" s="10"/>
      <c r="V102" s="11" t="str">
        <f>IFERROR(VLOOKUP($E102,Спр_Опоры!$B$4:$J$70,9,0),"")</f>
        <v/>
      </c>
      <c r="W102" s="10"/>
    </row>
    <row r="103">
      <c r="A103" s="10"/>
      <c r="B103" s="10"/>
      <c r="C103" s="10"/>
      <c r="D103" s="10"/>
      <c r="E103" s="10"/>
      <c r="F103" s="11" t="str">
        <f>IFERROR(VLOOKUP($E103,Спр_Опоры!$B$4:$J$70,2,0),"")</f>
        <v/>
      </c>
      <c r="G103" s="11" t="str">
        <f>IFERROR(VLOOKUP($E103,Спр_Опоры!$B$4:$J$70,3,0),"")</f>
        <v/>
      </c>
      <c r="H103" s="10"/>
      <c r="I103" s="10"/>
      <c r="J103" s="10"/>
      <c r="K103" s="11" t="str">
        <f>IFERROR(VLOOKUP($J103,Спр_Дефекты!$A$4:$F$7,2,0),"")</f>
        <v/>
      </c>
      <c r="L103" s="11" t="str">
        <f>IFERROR(VLOOKUP($J103,Спр_Дефекты!$A$4:$F$7,3,0),"")</f>
        <v/>
      </c>
      <c r="M103" s="11" t="str">
        <f>IFERROR(VLOOKUP($J103,Спр_Дефекты!$A$4:$F$7,4,0),"")</f>
        <v/>
      </c>
      <c r="N103" s="11" t="str">
        <f>IFERROR(VLOOKUP($J103,Спр_Дефекты!$A$4:$F$7,5,0),"")</f>
        <v/>
      </c>
      <c r="O103" s="11" t="str">
        <f>IFERROR(VLOOKUP($J103,Спр_Дефекты!$A$4:$F$7,6,0),"")</f>
        <v/>
      </c>
      <c r="P103" s="10"/>
      <c r="Q103" s="10"/>
      <c r="R103" s="10"/>
      <c r="S103" s="10"/>
      <c r="T103" s="10"/>
      <c r="U103" s="10"/>
      <c r="V103" s="11" t="str">
        <f>IFERROR(VLOOKUP($E103,Спр_Опоры!$B$4:$J$70,9,0),"")</f>
        <v/>
      </c>
      <c r="W103" s="10"/>
    </row>
    <row r="104">
      <c r="A104" s="10"/>
      <c r="B104" s="10"/>
      <c r="C104" s="10"/>
      <c r="D104" s="10"/>
      <c r="E104" s="10"/>
      <c r="F104" s="11" t="str">
        <f>IFERROR(VLOOKUP($E104,Спр_Опоры!$B$4:$J$70,2,0),"")</f>
        <v/>
      </c>
      <c r="G104" s="11" t="str">
        <f>IFERROR(VLOOKUP($E104,Спр_Опоры!$B$4:$J$70,3,0),"")</f>
        <v/>
      </c>
      <c r="H104" s="10"/>
      <c r="I104" s="10"/>
      <c r="J104" s="10"/>
      <c r="K104" s="11" t="str">
        <f>IFERROR(VLOOKUP($J104,Спр_Дефекты!$A$4:$F$7,2,0),"")</f>
        <v/>
      </c>
      <c r="L104" s="11" t="str">
        <f>IFERROR(VLOOKUP($J104,Спр_Дефекты!$A$4:$F$7,3,0),"")</f>
        <v/>
      </c>
      <c r="M104" s="11" t="str">
        <f>IFERROR(VLOOKUP($J104,Спр_Дефекты!$A$4:$F$7,4,0),"")</f>
        <v/>
      </c>
      <c r="N104" s="11" t="str">
        <f>IFERROR(VLOOKUP($J104,Спр_Дефекты!$A$4:$F$7,5,0),"")</f>
        <v/>
      </c>
      <c r="O104" s="11" t="str">
        <f>IFERROR(VLOOKUP($J104,Спр_Дефекты!$A$4:$F$7,6,0),"")</f>
        <v/>
      </c>
      <c r="P104" s="10"/>
      <c r="Q104" s="10"/>
      <c r="R104" s="10"/>
      <c r="S104" s="10"/>
      <c r="T104" s="10"/>
      <c r="U104" s="10"/>
      <c r="V104" s="11" t="str">
        <f>IFERROR(VLOOKUP($E104,Спр_Опоры!$B$4:$J$70,9,0),"")</f>
        <v/>
      </c>
      <c r="W104" s="10"/>
    </row>
    <row r="105">
      <c r="A105" s="10"/>
      <c r="B105" s="10"/>
      <c r="C105" s="10"/>
      <c r="D105" s="10"/>
      <c r="E105" s="10"/>
      <c r="F105" s="11" t="str">
        <f>IFERROR(VLOOKUP($E105,Спр_Опоры!$B$4:$J$70,2,0),"")</f>
        <v/>
      </c>
      <c r="G105" s="11" t="str">
        <f>IFERROR(VLOOKUP($E105,Спр_Опоры!$B$4:$J$70,3,0),"")</f>
        <v/>
      </c>
      <c r="H105" s="10"/>
      <c r="I105" s="10"/>
      <c r="J105" s="10"/>
      <c r="K105" s="11" t="str">
        <f>IFERROR(VLOOKUP($J105,Спр_Дефекты!$A$4:$F$7,2,0),"")</f>
        <v/>
      </c>
      <c r="L105" s="11" t="str">
        <f>IFERROR(VLOOKUP($J105,Спр_Дефекты!$A$4:$F$7,3,0),"")</f>
        <v/>
      </c>
      <c r="M105" s="11" t="str">
        <f>IFERROR(VLOOKUP($J105,Спр_Дефекты!$A$4:$F$7,4,0),"")</f>
        <v/>
      </c>
      <c r="N105" s="11" t="str">
        <f>IFERROR(VLOOKUP($J105,Спр_Дефекты!$A$4:$F$7,5,0),"")</f>
        <v/>
      </c>
      <c r="O105" s="11" t="str">
        <f>IFERROR(VLOOKUP($J105,Спр_Дефекты!$A$4:$F$7,6,0),"")</f>
        <v/>
      </c>
      <c r="P105" s="10"/>
      <c r="Q105" s="10"/>
      <c r="R105" s="10"/>
      <c r="S105" s="10"/>
      <c r="T105" s="10"/>
      <c r="U105" s="10"/>
      <c r="V105" s="11" t="str">
        <f>IFERROR(VLOOKUP($E105,Спр_Опоры!$B$4:$J$70,9,0),"")</f>
        <v/>
      </c>
      <c r="W105" s="10"/>
    </row>
    <row r="106">
      <c r="A106" s="10"/>
      <c r="B106" s="10"/>
      <c r="C106" s="10"/>
      <c r="D106" s="10"/>
      <c r="E106" s="10"/>
      <c r="F106" s="11" t="str">
        <f>IFERROR(VLOOKUP($E106,Спр_Опоры!$B$4:$J$70,2,0),"")</f>
        <v/>
      </c>
      <c r="G106" s="11" t="str">
        <f>IFERROR(VLOOKUP($E106,Спр_Опоры!$B$4:$J$70,3,0),"")</f>
        <v/>
      </c>
      <c r="H106" s="10"/>
      <c r="I106" s="10"/>
      <c r="J106" s="10"/>
      <c r="K106" s="11" t="str">
        <f>IFERROR(VLOOKUP($J106,Спр_Дефекты!$A$4:$F$7,2,0),"")</f>
        <v/>
      </c>
      <c r="L106" s="11" t="str">
        <f>IFERROR(VLOOKUP($J106,Спр_Дефекты!$A$4:$F$7,3,0),"")</f>
        <v/>
      </c>
      <c r="M106" s="11" t="str">
        <f>IFERROR(VLOOKUP($J106,Спр_Дефекты!$A$4:$F$7,4,0),"")</f>
        <v/>
      </c>
      <c r="N106" s="11" t="str">
        <f>IFERROR(VLOOKUP($J106,Спр_Дефекты!$A$4:$F$7,5,0),"")</f>
        <v/>
      </c>
      <c r="O106" s="11" t="str">
        <f>IFERROR(VLOOKUP($J106,Спр_Дефекты!$A$4:$F$7,6,0),"")</f>
        <v/>
      </c>
      <c r="P106" s="10"/>
      <c r="Q106" s="10"/>
      <c r="R106" s="10"/>
      <c r="S106" s="10"/>
      <c r="T106" s="10"/>
      <c r="U106" s="10"/>
      <c r="V106" s="11" t="str">
        <f>IFERROR(VLOOKUP($E106,Спр_Опоры!$B$4:$J$70,9,0),"")</f>
        <v/>
      </c>
      <c r="W106" s="10"/>
    </row>
    <row r="107">
      <c r="A107" s="10"/>
      <c r="B107" s="10"/>
      <c r="C107" s="10"/>
      <c r="D107" s="10"/>
      <c r="E107" s="10"/>
      <c r="F107" s="11" t="str">
        <f>IFERROR(VLOOKUP($E107,Спр_Опоры!$B$4:$J$70,2,0),"")</f>
        <v/>
      </c>
      <c r="G107" s="11" t="str">
        <f>IFERROR(VLOOKUP($E107,Спр_Опоры!$B$4:$J$70,3,0),"")</f>
        <v/>
      </c>
      <c r="H107" s="10"/>
      <c r="I107" s="10"/>
      <c r="J107" s="10"/>
      <c r="K107" s="11" t="str">
        <f>IFERROR(VLOOKUP($J107,Спр_Дефекты!$A$4:$F$7,2,0),"")</f>
        <v/>
      </c>
      <c r="L107" s="11" t="str">
        <f>IFERROR(VLOOKUP($J107,Спр_Дефекты!$A$4:$F$7,3,0),"")</f>
        <v/>
      </c>
      <c r="M107" s="11" t="str">
        <f>IFERROR(VLOOKUP($J107,Спр_Дефекты!$A$4:$F$7,4,0),"")</f>
        <v/>
      </c>
      <c r="N107" s="11" t="str">
        <f>IFERROR(VLOOKUP($J107,Спр_Дефекты!$A$4:$F$7,5,0),"")</f>
        <v/>
      </c>
      <c r="O107" s="11" t="str">
        <f>IFERROR(VLOOKUP($J107,Спр_Дефекты!$A$4:$F$7,6,0),"")</f>
        <v/>
      </c>
      <c r="P107" s="10"/>
      <c r="Q107" s="10"/>
      <c r="R107" s="10"/>
      <c r="S107" s="10"/>
      <c r="T107" s="10"/>
      <c r="U107" s="10"/>
      <c r="V107" s="11" t="str">
        <f>IFERROR(VLOOKUP($E107,Спр_Опоры!$B$4:$J$70,9,0),"")</f>
        <v/>
      </c>
      <c r="W107" s="10"/>
    </row>
    <row r="108">
      <c r="A108" s="10"/>
      <c r="B108" s="10"/>
      <c r="C108" s="10"/>
      <c r="D108" s="10"/>
      <c r="E108" s="10"/>
      <c r="F108" s="11" t="str">
        <f>IFERROR(VLOOKUP($E108,Спр_Опоры!$B$4:$J$70,2,0),"")</f>
        <v/>
      </c>
      <c r="G108" s="11" t="str">
        <f>IFERROR(VLOOKUP($E108,Спр_Опоры!$B$4:$J$70,3,0),"")</f>
        <v/>
      </c>
      <c r="H108" s="10"/>
      <c r="I108" s="10"/>
      <c r="J108" s="10"/>
      <c r="K108" s="11" t="str">
        <f>IFERROR(VLOOKUP($J108,Спр_Дефекты!$A$4:$F$7,2,0),"")</f>
        <v/>
      </c>
      <c r="L108" s="11" t="str">
        <f>IFERROR(VLOOKUP($J108,Спр_Дефекты!$A$4:$F$7,3,0),"")</f>
        <v/>
      </c>
      <c r="M108" s="11" t="str">
        <f>IFERROR(VLOOKUP($J108,Спр_Дефекты!$A$4:$F$7,4,0),"")</f>
        <v/>
      </c>
      <c r="N108" s="11" t="str">
        <f>IFERROR(VLOOKUP($J108,Спр_Дефекты!$A$4:$F$7,5,0),"")</f>
        <v/>
      </c>
      <c r="O108" s="11" t="str">
        <f>IFERROR(VLOOKUP($J108,Спр_Дефекты!$A$4:$F$7,6,0),"")</f>
        <v/>
      </c>
      <c r="P108" s="10"/>
      <c r="Q108" s="10"/>
      <c r="R108" s="10"/>
      <c r="S108" s="10"/>
      <c r="T108" s="10"/>
      <c r="U108" s="10"/>
      <c r="V108" s="11" t="str">
        <f>IFERROR(VLOOKUP($E108,Спр_Опоры!$B$4:$J$70,9,0),"")</f>
        <v/>
      </c>
      <c r="W108" s="10"/>
    </row>
    <row r="109">
      <c r="A109" s="10"/>
      <c r="B109" s="10"/>
      <c r="C109" s="10"/>
      <c r="D109" s="10"/>
      <c r="E109" s="10"/>
      <c r="F109" s="11" t="str">
        <f>IFERROR(VLOOKUP($E109,Спр_Опоры!$B$4:$J$70,2,0),"")</f>
        <v/>
      </c>
      <c r="G109" s="11" t="str">
        <f>IFERROR(VLOOKUP($E109,Спр_Опоры!$B$4:$J$70,3,0),"")</f>
        <v/>
      </c>
      <c r="H109" s="10"/>
      <c r="I109" s="10"/>
      <c r="J109" s="10"/>
      <c r="K109" s="11" t="str">
        <f>IFERROR(VLOOKUP($J109,Спр_Дефекты!$A$4:$F$7,2,0),"")</f>
        <v/>
      </c>
      <c r="L109" s="11" t="str">
        <f>IFERROR(VLOOKUP($J109,Спр_Дефекты!$A$4:$F$7,3,0),"")</f>
        <v/>
      </c>
      <c r="M109" s="11" t="str">
        <f>IFERROR(VLOOKUP($J109,Спр_Дефекты!$A$4:$F$7,4,0),"")</f>
        <v/>
      </c>
      <c r="N109" s="11" t="str">
        <f>IFERROR(VLOOKUP($J109,Спр_Дефекты!$A$4:$F$7,5,0),"")</f>
        <v/>
      </c>
      <c r="O109" s="11" t="str">
        <f>IFERROR(VLOOKUP($J109,Спр_Дефекты!$A$4:$F$7,6,0),"")</f>
        <v/>
      </c>
      <c r="P109" s="10"/>
      <c r="Q109" s="10"/>
      <c r="R109" s="10"/>
      <c r="S109" s="10"/>
      <c r="T109" s="10"/>
      <c r="U109" s="10"/>
      <c r="V109" s="11" t="str">
        <f>IFERROR(VLOOKUP($E109,Спр_Опоры!$B$4:$J$70,9,0),"")</f>
        <v/>
      </c>
      <c r="W109" s="10"/>
    </row>
    <row r="110">
      <c r="A110" s="10"/>
      <c r="B110" s="10"/>
      <c r="C110" s="10"/>
      <c r="D110" s="10"/>
      <c r="E110" s="10"/>
      <c r="F110" s="11" t="str">
        <f>IFERROR(VLOOKUP($E110,Спр_Опоры!$B$4:$J$70,2,0),"")</f>
        <v/>
      </c>
      <c r="G110" s="11" t="str">
        <f>IFERROR(VLOOKUP($E110,Спр_Опоры!$B$4:$J$70,3,0),"")</f>
        <v/>
      </c>
      <c r="H110" s="10"/>
      <c r="I110" s="10"/>
      <c r="J110" s="10"/>
      <c r="K110" s="11" t="str">
        <f>IFERROR(VLOOKUP($J110,Спр_Дефекты!$A$4:$F$7,2,0),"")</f>
        <v/>
      </c>
      <c r="L110" s="11" t="str">
        <f>IFERROR(VLOOKUP($J110,Спр_Дефекты!$A$4:$F$7,3,0),"")</f>
        <v/>
      </c>
      <c r="M110" s="11" t="str">
        <f>IFERROR(VLOOKUP($J110,Спр_Дефекты!$A$4:$F$7,4,0),"")</f>
        <v/>
      </c>
      <c r="N110" s="11" t="str">
        <f>IFERROR(VLOOKUP($J110,Спр_Дефекты!$A$4:$F$7,5,0),"")</f>
        <v/>
      </c>
      <c r="O110" s="11" t="str">
        <f>IFERROR(VLOOKUP($J110,Спр_Дефекты!$A$4:$F$7,6,0),"")</f>
        <v/>
      </c>
      <c r="P110" s="10"/>
      <c r="Q110" s="10"/>
      <c r="R110" s="10"/>
      <c r="S110" s="10"/>
      <c r="T110" s="10"/>
      <c r="U110" s="10"/>
      <c r="V110" s="11" t="str">
        <f>IFERROR(VLOOKUP($E110,Спр_Опоры!$B$4:$J$70,9,0),"")</f>
        <v/>
      </c>
      <c r="W110" s="10"/>
    </row>
    <row r="111">
      <c r="A111" s="10"/>
      <c r="B111" s="10"/>
      <c r="C111" s="10"/>
      <c r="D111" s="10"/>
      <c r="E111" s="10"/>
      <c r="F111" s="11" t="str">
        <f>IFERROR(VLOOKUP($E111,Спр_Опоры!$B$4:$J$70,2,0),"")</f>
        <v/>
      </c>
      <c r="G111" s="11" t="str">
        <f>IFERROR(VLOOKUP($E111,Спр_Опоры!$B$4:$J$70,3,0),"")</f>
        <v/>
      </c>
      <c r="H111" s="10"/>
      <c r="I111" s="10"/>
      <c r="J111" s="10"/>
      <c r="K111" s="11" t="str">
        <f>IFERROR(VLOOKUP($J111,Спр_Дефекты!$A$4:$F$7,2,0),"")</f>
        <v/>
      </c>
      <c r="L111" s="11" t="str">
        <f>IFERROR(VLOOKUP($J111,Спр_Дефекты!$A$4:$F$7,3,0),"")</f>
        <v/>
      </c>
      <c r="M111" s="11" t="str">
        <f>IFERROR(VLOOKUP($J111,Спр_Дефекты!$A$4:$F$7,4,0),"")</f>
        <v/>
      </c>
      <c r="N111" s="11" t="str">
        <f>IFERROR(VLOOKUP($J111,Спр_Дефекты!$A$4:$F$7,5,0),"")</f>
        <v/>
      </c>
      <c r="O111" s="11" t="str">
        <f>IFERROR(VLOOKUP($J111,Спр_Дефекты!$A$4:$F$7,6,0),"")</f>
        <v/>
      </c>
      <c r="P111" s="10"/>
      <c r="Q111" s="10"/>
      <c r="R111" s="10"/>
      <c r="S111" s="10"/>
      <c r="T111" s="10"/>
      <c r="U111" s="10"/>
      <c r="V111" s="11" t="str">
        <f>IFERROR(VLOOKUP($E111,Спр_Опоры!$B$4:$J$70,9,0),"")</f>
        <v/>
      </c>
      <c r="W111" s="10"/>
    </row>
    <row r="112">
      <c r="A112" s="10"/>
      <c r="B112" s="10"/>
      <c r="C112" s="10"/>
      <c r="D112" s="10"/>
      <c r="E112" s="10"/>
      <c r="F112" s="11" t="str">
        <f>IFERROR(VLOOKUP($E112,Спр_Опоры!$B$4:$J$70,2,0),"")</f>
        <v/>
      </c>
      <c r="G112" s="11" t="str">
        <f>IFERROR(VLOOKUP($E112,Спр_Опоры!$B$4:$J$70,3,0),"")</f>
        <v/>
      </c>
      <c r="H112" s="10"/>
      <c r="I112" s="10"/>
      <c r="J112" s="10"/>
      <c r="K112" s="11" t="str">
        <f>IFERROR(VLOOKUP($J112,Спр_Дефекты!$A$4:$F$7,2,0),"")</f>
        <v/>
      </c>
      <c r="L112" s="11" t="str">
        <f>IFERROR(VLOOKUP($J112,Спр_Дефекты!$A$4:$F$7,3,0),"")</f>
        <v/>
      </c>
      <c r="M112" s="11" t="str">
        <f>IFERROR(VLOOKUP($J112,Спр_Дефекты!$A$4:$F$7,4,0),"")</f>
        <v/>
      </c>
      <c r="N112" s="11" t="str">
        <f>IFERROR(VLOOKUP($J112,Спр_Дефекты!$A$4:$F$7,5,0),"")</f>
        <v/>
      </c>
      <c r="O112" s="11" t="str">
        <f>IFERROR(VLOOKUP($J112,Спр_Дефекты!$A$4:$F$7,6,0),"")</f>
        <v/>
      </c>
      <c r="P112" s="10"/>
      <c r="Q112" s="10"/>
      <c r="R112" s="10"/>
      <c r="S112" s="10"/>
      <c r="T112" s="10"/>
      <c r="U112" s="10"/>
      <c r="V112" s="11" t="str">
        <f>IFERROR(VLOOKUP($E112,Спр_Опоры!$B$4:$J$70,9,0),"")</f>
        <v/>
      </c>
      <c r="W112" s="10"/>
    </row>
    <row r="113">
      <c r="A113" s="10"/>
      <c r="B113" s="10"/>
      <c r="C113" s="10"/>
      <c r="D113" s="10"/>
      <c r="E113" s="10"/>
      <c r="F113" s="11" t="str">
        <f>IFERROR(VLOOKUP($E113,Спр_Опоры!$B$4:$J$70,2,0),"")</f>
        <v/>
      </c>
      <c r="G113" s="11" t="str">
        <f>IFERROR(VLOOKUP($E113,Спр_Опоры!$B$4:$J$70,3,0),"")</f>
        <v/>
      </c>
      <c r="H113" s="10"/>
      <c r="I113" s="10"/>
      <c r="J113" s="10"/>
      <c r="K113" s="11" t="str">
        <f>IFERROR(VLOOKUP($J113,Спр_Дефекты!$A$4:$F$7,2,0),"")</f>
        <v/>
      </c>
      <c r="L113" s="11" t="str">
        <f>IFERROR(VLOOKUP($J113,Спр_Дефекты!$A$4:$F$7,3,0),"")</f>
        <v/>
      </c>
      <c r="M113" s="11" t="str">
        <f>IFERROR(VLOOKUP($J113,Спр_Дефекты!$A$4:$F$7,4,0),"")</f>
        <v/>
      </c>
      <c r="N113" s="11" t="str">
        <f>IFERROR(VLOOKUP($J113,Спр_Дефекты!$A$4:$F$7,5,0),"")</f>
        <v/>
      </c>
      <c r="O113" s="11" t="str">
        <f>IFERROR(VLOOKUP($J113,Спр_Дефекты!$A$4:$F$7,6,0),"")</f>
        <v/>
      </c>
      <c r="P113" s="10"/>
      <c r="Q113" s="10"/>
      <c r="R113" s="10"/>
      <c r="S113" s="10"/>
      <c r="T113" s="10"/>
      <c r="U113" s="10"/>
      <c r="V113" s="11" t="str">
        <f>IFERROR(VLOOKUP($E113,Спр_Опоры!$B$4:$J$70,9,0),"")</f>
        <v/>
      </c>
      <c r="W113" s="10"/>
    </row>
    <row r="114">
      <c r="A114" s="10"/>
      <c r="B114" s="10"/>
      <c r="C114" s="10"/>
      <c r="D114" s="10"/>
      <c r="E114" s="10"/>
      <c r="F114" s="11" t="str">
        <f>IFERROR(VLOOKUP($E114,Спр_Опоры!$B$4:$J$70,2,0),"")</f>
        <v/>
      </c>
      <c r="G114" s="11" t="str">
        <f>IFERROR(VLOOKUP($E114,Спр_Опоры!$B$4:$J$70,3,0),"")</f>
        <v/>
      </c>
      <c r="H114" s="10"/>
      <c r="I114" s="10"/>
      <c r="J114" s="10"/>
      <c r="K114" s="11" t="str">
        <f>IFERROR(VLOOKUP($J114,Спр_Дефекты!$A$4:$F$7,2,0),"")</f>
        <v/>
      </c>
      <c r="L114" s="11" t="str">
        <f>IFERROR(VLOOKUP($J114,Спр_Дефекты!$A$4:$F$7,3,0),"")</f>
        <v/>
      </c>
      <c r="M114" s="11" t="str">
        <f>IFERROR(VLOOKUP($J114,Спр_Дефекты!$A$4:$F$7,4,0),"")</f>
        <v/>
      </c>
      <c r="N114" s="11" t="str">
        <f>IFERROR(VLOOKUP($J114,Спр_Дефекты!$A$4:$F$7,5,0),"")</f>
        <v/>
      </c>
      <c r="O114" s="11" t="str">
        <f>IFERROR(VLOOKUP($J114,Спр_Дефекты!$A$4:$F$7,6,0),"")</f>
        <v/>
      </c>
      <c r="P114" s="10"/>
      <c r="Q114" s="10"/>
      <c r="R114" s="10"/>
      <c r="S114" s="10"/>
      <c r="T114" s="10"/>
      <c r="U114" s="10"/>
      <c r="V114" s="11" t="str">
        <f>IFERROR(VLOOKUP($E114,Спр_Опоры!$B$4:$J$70,9,0),"")</f>
        <v/>
      </c>
      <c r="W114" s="10"/>
    </row>
    <row r="115">
      <c r="A115" s="10"/>
      <c r="B115" s="10"/>
      <c r="C115" s="10"/>
      <c r="D115" s="10"/>
      <c r="E115" s="10"/>
      <c r="F115" s="11" t="str">
        <f>IFERROR(VLOOKUP($E115,Спр_Опоры!$B$4:$J$70,2,0),"")</f>
        <v/>
      </c>
      <c r="G115" s="11" t="str">
        <f>IFERROR(VLOOKUP($E115,Спр_Опоры!$B$4:$J$70,3,0),"")</f>
        <v/>
      </c>
      <c r="H115" s="10"/>
      <c r="I115" s="10"/>
      <c r="J115" s="10"/>
      <c r="K115" s="11" t="str">
        <f>IFERROR(VLOOKUP($J115,Спр_Дефекты!$A$4:$F$7,2,0),"")</f>
        <v/>
      </c>
      <c r="L115" s="11" t="str">
        <f>IFERROR(VLOOKUP($J115,Спр_Дефекты!$A$4:$F$7,3,0),"")</f>
        <v/>
      </c>
      <c r="M115" s="11" t="str">
        <f>IFERROR(VLOOKUP($J115,Спр_Дефекты!$A$4:$F$7,4,0),"")</f>
        <v/>
      </c>
      <c r="N115" s="11" t="str">
        <f>IFERROR(VLOOKUP($J115,Спр_Дефекты!$A$4:$F$7,5,0),"")</f>
        <v/>
      </c>
      <c r="O115" s="11" t="str">
        <f>IFERROR(VLOOKUP($J115,Спр_Дефекты!$A$4:$F$7,6,0),"")</f>
        <v/>
      </c>
      <c r="P115" s="10"/>
      <c r="Q115" s="10"/>
      <c r="R115" s="10"/>
      <c r="S115" s="10"/>
      <c r="T115" s="10"/>
      <c r="U115" s="10"/>
      <c r="V115" s="11" t="str">
        <f>IFERROR(VLOOKUP($E115,Спр_Опоры!$B$4:$J$70,9,0),"")</f>
        <v/>
      </c>
      <c r="W115" s="10"/>
    </row>
    <row r="116">
      <c r="A116" s="10"/>
      <c r="B116" s="10"/>
      <c r="C116" s="10"/>
      <c r="D116" s="10"/>
      <c r="E116" s="10"/>
      <c r="F116" s="11" t="str">
        <f>IFERROR(VLOOKUP($E116,Спр_Опоры!$B$4:$J$70,2,0),"")</f>
        <v/>
      </c>
      <c r="G116" s="11" t="str">
        <f>IFERROR(VLOOKUP($E116,Спр_Опоры!$B$4:$J$70,3,0),"")</f>
        <v/>
      </c>
      <c r="H116" s="10"/>
      <c r="I116" s="10"/>
      <c r="J116" s="10"/>
      <c r="K116" s="11" t="str">
        <f>IFERROR(VLOOKUP($J116,Спр_Дефекты!$A$4:$F$7,2,0),"")</f>
        <v/>
      </c>
      <c r="L116" s="11" t="str">
        <f>IFERROR(VLOOKUP($J116,Спр_Дефекты!$A$4:$F$7,3,0),"")</f>
        <v/>
      </c>
      <c r="M116" s="11" t="str">
        <f>IFERROR(VLOOKUP($J116,Спр_Дефекты!$A$4:$F$7,4,0),"")</f>
        <v/>
      </c>
      <c r="N116" s="11" t="str">
        <f>IFERROR(VLOOKUP($J116,Спр_Дефекты!$A$4:$F$7,5,0),"")</f>
        <v/>
      </c>
      <c r="O116" s="11" t="str">
        <f>IFERROR(VLOOKUP($J116,Спр_Дефекты!$A$4:$F$7,6,0),"")</f>
        <v/>
      </c>
      <c r="P116" s="10"/>
      <c r="Q116" s="10"/>
      <c r="R116" s="10"/>
      <c r="S116" s="10"/>
      <c r="T116" s="10"/>
      <c r="U116" s="10"/>
      <c r="V116" s="11" t="str">
        <f>IFERROR(VLOOKUP($E116,Спр_Опоры!$B$4:$J$70,9,0),"")</f>
        <v/>
      </c>
      <c r="W116" s="10"/>
    </row>
    <row r="117">
      <c r="A117" s="10"/>
      <c r="B117" s="10"/>
      <c r="C117" s="10"/>
      <c r="D117" s="10"/>
      <c r="E117" s="10"/>
      <c r="F117" s="11" t="str">
        <f>IFERROR(VLOOKUP($E117,Спр_Опоры!$B$4:$J$70,2,0),"")</f>
        <v/>
      </c>
      <c r="G117" s="11" t="str">
        <f>IFERROR(VLOOKUP($E117,Спр_Опоры!$B$4:$J$70,3,0),"")</f>
        <v/>
      </c>
      <c r="H117" s="10"/>
      <c r="I117" s="10"/>
      <c r="J117" s="10"/>
      <c r="K117" s="11" t="str">
        <f>IFERROR(VLOOKUP($J117,Спр_Дефекты!$A$4:$F$7,2,0),"")</f>
        <v/>
      </c>
      <c r="L117" s="11" t="str">
        <f>IFERROR(VLOOKUP($J117,Спр_Дефекты!$A$4:$F$7,3,0),"")</f>
        <v/>
      </c>
      <c r="M117" s="11" t="str">
        <f>IFERROR(VLOOKUP($J117,Спр_Дефекты!$A$4:$F$7,4,0),"")</f>
        <v/>
      </c>
      <c r="N117" s="11" t="str">
        <f>IFERROR(VLOOKUP($J117,Спр_Дефекты!$A$4:$F$7,5,0),"")</f>
        <v/>
      </c>
      <c r="O117" s="11" t="str">
        <f>IFERROR(VLOOKUP($J117,Спр_Дефекты!$A$4:$F$7,6,0),"")</f>
        <v/>
      </c>
      <c r="P117" s="10"/>
      <c r="Q117" s="10"/>
      <c r="R117" s="10"/>
      <c r="S117" s="10"/>
      <c r="T117" s="10"/>
      <c r="U117" s="10"/>
      <c r="V117" s="11" t="str">
        <f>IFERROR(VLOOKUP($E117,Спр_Опоры!$B$4:$J$70,9,0),"")</f>
        <v/>
      </c>
      <c r="W117" s="10"/>
    </row>
    <row r="118">
      <c r="A118" s="10"/>
      <c r="B118" s="10"/>
      <c r="C118" s="10"/>
      <c r="D118" s="10"/>
      <c r="E118" s="10"/>
      <c r="F118" s="11" t="str">
        <f>IFERROR(VLOOKUP($E118,Спр_Опоры!$B$4:$J$70,2,0),"")</f>
        <v/>
      </c>
      <c r="G118" s="11" t="str">
        <f>IFERROR(VLOOKUP($E118,Спр_Опоры!$B$4:$J$70,3,0),"")</f>
        <v/>
      </c>
      <c r="H118" s="10"/>
      <c r="I118" s="10"/>
      <c r="J118" s="10"/>
      <c r="K118" s="11" t="str">
        <f>IFERROR(VLOOKUP($J118,Спр_Дефекты!$A$4:$F$7,2,0),"")</f>
        <v/>
      </c>
      <c r="L118" s="11" t="str">
        <f>IFERROR(VLOOKUP($J118,Спр_Дефекты!$A$4:$F$7,3,0),"")</f>
        <v/>
      </c>
      <c r="M118" s="11" t="str">
        <f>IFERROR(VLOOKUP($J118,Спр_Дефекты!$A$4:$F$7,4,0),"")</f>
        <v/>
      </c>
      <c r="N118" s="11" t="str">
        <f>IFERROR(VLOOKUP($J118,Спр_Дефекты!$A$4:$F$7,5,0),"")</f>
        <v/>
      </c>
      <c r="O118" s="11" t="str">
        <f>IFERROR(VLOOKUP($J118,Спр_Дефекты!$A$4:$F$7,6,0),"")</f>
        <v/>
      </c>
      <c r="P118" s="10"/>
      <c r="Q118" s="10"/>
      <c r="R118" s="10"/>
      <c r="S118" s="10"/>
      <c r="T118" s="10"/>
      <c r="U118" s="10"/>
      <c r="V118" s="11" t="str">
        <f>IFERROR(VLOOKUP($E118,Спр_Опоры!$B$4:$J$70,9,0),"")</f>
        <v/>
      </c>
      <c r="W118" s="10"/>
    </row>
    <row r="119">
      <c r="A119" s="10"/>
      <c r="B119" s="10"/>
      <c r="C119" s="10"/>
      <c r="D119" s="10"/>
      <c r="E119" s="10"/>
      <c r="F119" s="11" t="str">
        <f>IFERROR(VLOOKUP($E119,Спр_Опоры!$B$4:$J$70,2,0),"")</f>
        <v/>
      </c>
      <c r="G119" s="11" t="str">
        <f>IFERROR(VLOOKUP($E119,Спр_Опоры!$B$4:$J$70,3,0),"")</f>
        <v/>
      </c>
      <c r="H119" s="10"/>
      <c r="I119" s="10"/>
      <c r="J119" s="10"/>
      <c r="K119" s="11" t="str">
        <f>IFERROR(VLOOKUP($J119,Спр_Дефекты!$A$4:$F$7,2,0),"")</f>
        <v/>
      </c>
      <c r="L119" s="11" t="str">
        <f>IFERROR(VLOOKUP($J119,Спр_Дефекты!$A$4:$F$7,3,0),"")</f>
        <v/>
      </c>
      <c r="M119" s="11" t="str">
        <f>IFERROR(VLOOKUP($J119,Спр_Дефекты!$A$4:$F$7,4,0),"")</f>
        <v/>
      </c>
      <c r="N119" s="11" t="str">
        <f>IFERROR(VLOOKUP($J119,Спр_Дефекты!$A$4:$F$7,5,0),"")</f>
        <v/>
      </c>
      <c r="O119" s="11" t="str">
        <f>IFERROR(VLOOKUP($J119,Спр_Дефекты!$A$4:$F$7,6,0),"")</f>
        <v/>
      </c>
      <c r="P119" s="10"/>
      <c r="Q119" s="10"/>
      <c r="R119" s="10"/>
      <c r="S119" s="10"/>
      <c r="T119" s="10"/>
      <c r="U119" s="10"/>
      <c r="V119" s="11" t="str">
        <f>IFERROR(VLOOKUP($E119,Спр_Опоры!$B$4:$J$70,9,0),"")</f>
        <v/>
      </c>
      <c r="W119" s="10"/>
    </row>
    <row r="120">
      <c r="A120" s="10"/>
      <c r="B120" s="10"/>
      <c r="C120" s="10"/>
      <c r="D120" s="10"/>
      <c r="E120" s="10"/>
      <c r="F120" s="11" t="str">
        <f>IFERROR(VLOOKUP($E120,Спр_Опоры!$B$4:$J$70,2,0),"")</f>
        <v/>
      </c>
      <c r="G120" s="11" t="str">
        <f>IFERROR(VLOOKUP($E120,Спр_Опоры!$B$4:$J$70,3,0),"")</f>
        <v/>
      </c>
      <c r="H120" s="10"/>
      <c r="I120" s="10"/>
      <c r="J120" s="10"/>
      <c r="K120" s="11" t="str">
        <f>IFERROR(VLOOKUP($J120,Спр_Дефекты!$A$4:$F$7,2,0),"")</f>
        <v/>
      </c>
      <c r="L120" s="11" t="str">
        <f>IFERROR(VLOOKUP($J120,Спр_Дефекты!$A$4:$F$7,3,0),"")</f>
        <v/>
      </c>
      <c r="M120" s="11" t="str">
        <f>IFERROR(VLOOKUP($J120,Спр_Дефекты!$A$4:$F$7,4,0),"")</f>
        <v/>
      </c>
      <c r="N120" s="11" t="str">
        <f>IFERROR(VLOOKUP($J120,Спр_Дефекты!$A$4:$F$7,5,0),"")</f>
        <v/>
      </c>
      <c r="O120" s="11" t="str">
        <f>IFERROR(VLOOKUP($J120,Спр_Дефекты!$A$4:$F$7,6,0),"")</f>
        <v/>
      </c>
      <c r="P120" s="10"/>
      <c r="Q120" s="10"/>
      <c r="R120" s="10"/>
      <c r="S120" s="10"/>
      <c r="T120" s="10"/>
      <c r="U120" s="10"/>
      <c r="V120" s="11" t="str">
        <f>IFERROR(VLOOKUP($E120,Спр_Опоры!$B$4:$J$70,9,0),"")</f>
        <v/>
      </c>
      <c r="W120" s="10"/>
    </row>
    <row r="121">
      <c r="A121" s="10"/>
      <c r="B121" s="10"/>
      <c r="C121" s="10"/>
      <c r="D121" s="10"/>
      <c r="E121" s="10"/>
      <c r="F121" s="11" t="str">
        <f>IFERROR(VLOOKUP($E121,Спр_Опоры!$B$4:$J$70,2,0),"")</f>
        <v/>
      </c>
      <c r="G121" s="11" t="str">
        <f>IFERROR(VLOOKUP($E121,Спр_Опоры!$B$4:$J$70,3,0),"")</f>
        <v/>
      </c>
      <c r="H121" s="10"/>
      <c r="I121" s="10"/>
      <c r="J121" s="10"/>
      <c r="K121" s="11" t="str">
        <f>IFERROR(VLOOKUP($J121,Спр_Дефекты!$A$4:$F$7,2,0),"")</f>
        <v/>
      </c>
      <c r="L121" s="11" t="str">
        <f>IFERROR(VLOOKUP($J121,Спр_Дефекты!$A$4:$F$7,3,0),"")</f>
        <v/>
      </c>
      <c r="M121" s="11" t="str">
        <f>IFERROR(VLOOKUP($J121,Спр_Дефекты!$A$4:$F$7,4,0),"")</f>
        <v/>
      </c>
      <c r="N121" s="11" t="str">
        <f>IFERROR(VLOOKUP($J121,Спр_Дефекты!$A$4:$F$7,5,0),"")</f>
        <v/>
      </c>
      <c r="O121" s="11" t="str">
        <f>IFERROR(VLOOKUP($J121,Спр_Дефекты!$A$4:$F$7,6,0),"")</f>
        <v/>
      </c>
      <c r="P121" s="10"/>
      <c r="Q121" s="10"/>
      <c r="R121" s="10"/>
      <c r="S121" s="10"/>
      <c r="T121" s="10"/>
      <c r="U121" s="10"/>
      <c r="V121" s="11" t="str">
        <f>IFERROR(VLOOKUP($E121,Спр_Опоры!$B$4:$J$70,9,0),"")</f>
        <v/>
      </c>
      <c r="W121" s="10"/>
    </row>
    <row r="122">
      <c r="A122" s="10"/>
      <c r="B122" s="10"/>
      <c r="C122" s="10"/>
      <c r="D122" s="10"/>
      <c r="E122" s="10"/>
      <c r="F122" s="11" t="str">
        <f>IFERROR(VLOOKUP($E122,Спр_Опоры!$B$4:$J$70,2,0),"")</f>
        <v/>
      </c>
      <c r="G122" s="11" t="str">
        <f>IFERROR(VLOOKUP($E122,Спр_Опоры!$B$4:$J$70,3,0),"")</f>
        <v/>
      </c>
      <c r="H122" s="10"/>
      <c r="I122" s="10"/>
      <c r="J122" s="10"/>
      <c r="K122" s="11" t="str">
        <f>IFERROR(VLOOKUP($J122,Спр_Дефекты!$A$4:$F$7,2,0),"")</f>
        <v/>
      </c>
      <c r="L122" s="11" t="str">
        <f>IFERROR(VLOOKUP($J122,Спр_Дефекты!$A$4:$F$7,3,0),"")</f>
        <v/>
      </c>
      <c r="M122" s="11" t="str">
        <f>IFERROR(VLOOKUP($J122,Спр_Дефекты!$A$4:$F$7,4,0),"")</f>
        <v/>
      </c>
      <c r="N122" s="11" t="str">
        <f>IFERROR(VLOOKUP($J122,Спр_Дефекты!$A$4:$F$7,5,0),"")</f>
        <v/>
      </c>
      <c r="O122" s="11" t="str">
        <f>IFERROR(VLOOKUP($J122,Спр_Дефекты!$A$4:$F$7,6,0),"")</f>
        <v/>
      </c>
      <c r="P122" s="10"/>
      <c r="Q122" s="10"/>
      <c r="R122" s="10"/>
      <c r="S122" s="10"/>
      <c r="T122" s="10"/>
      <c r="U122" s="10"/>
      <c r="V122" s="11" t="str">
        <f>IFERROR(VLOOKUP($E122,Спр_Опоры!$B$4:$J$70,9,0),"")</f>
        <v/>
      </c>
      <c r="W122" s="10"/>
    </row>
    <row r="123">
      <c r="A123" s="10"/>
      <c r="B123" s="10"/>
      <c r="C123" s="10"/>
      <c r="D123" s="10"/>
      <c r="E123" s="10"/>
      <c r="F123" s="11" t="str">
        <f>IFERROR(VLOOKUP($E123,Спр_Опоры!$B$4:$J$70,2,0),"")</f>
        <v/>
      </c>
      <c r="G123" s="11" t="str">
        <f>IFERROR(VLOOKUP($E123,Спр_Опоры!$B$4:$J$70,3,0),"")</f>
        <v/>
      </c>
      <c r="H123" s="10"/>
      <c r="I123" s="10"/>
      <c r="J123" s="10"/>
      <c r="K123" s="11" t="str">
        <f>IFERROR(VLOOKUP($J123,Спр_Дефекты!$A$4:$F$7,2,0),"")</f>
        <v/>
      </c>
      <c r="L123" s="11" t="str">
        <f>IFERROR(VLOOKUP($J123,Спр_Дефекты!$A$4:$F$7,3,0),"")</f>
        <v/>
      </c>
      <c r="M123" s="11" t="str">
        <f>IFERROR(VLOOKUP($J123,Спр_Дефекты!$A$4:$F$7,4,0),"")</f>
        <v/>
      </c>
      <c r="N123" s="11" t="str">
        <f>IFERROR(VLOOKUP($J123,Спр_Дефекты!$A$4:$F$7,5,0),"")</f>
        <v/>
      </c>
      <c r="O123" s="11" t="str">
        <f>IFERROR(VLOOKUP($J123,Спр_Дефекты!$A$4:$F$7,6,0),"")</f>
        <v/>
      </c>
      <c r="P123" s="10"/>
      <c r="Q123" s="10"/>
      <c r="R123" s="10"/>
      <c r="S123" s="10"/>
      <c r="T123" s="10"/>
      <c r="U123" s="10"/>
      <c r="V123" s="11" t="str">
        <f>IFERROR(VLOOKUP($E123,Спр_Опоры!$B$4:$J$70,9,0),"")</f>
        <v/>
      </c>
      <c r="W123" s="10"/>
    </row>
    <row r="124">
      <c r="A124" s="10"/>
      <c r="B124" s="10"/>
      <c r="C124" s="10"/>
      <c r="D124" s="10"/>
      <c r="E124" s="10"/>
      <c r="F124" s="11" t="str">
        <f>IFERROR(VLOOKUP($E124,Спр_Опоры!$B$4:$J$70,2,0),"")</f>
        <v/>
      </c>
      <c r="G124" s="11" t="str">
        <f>IFERROR(VLOOKUP($E124,Спр_Опоры!$B$4:$J$70,3,0),"")</f>
        <v/>
      </c>
      <c r="H124" s="10"/>
      <c r="I124" s="10"/>
      <c r="J124" s="10"/>
      <c r="K124" s="11" t="str">
        <f>IFERROR(VLOOKUP($J124,Спр_Дефекты!$A$4:$F$7,2,0),"")</f>
        <v/>
      </c>
      <c r="L124" s="11" t="str">
        <f>IFERROR(VLOOKUP($J124,Спр_Дефекты!$A$4:$F$7,3,0),"")</f>
        <v/>
      </c>
      <c r="M124" s="11" t="str">
        <f>IFERROR(VLOOKUP($J124,Спр_Дефекты!$A$4:$F$7,4,0),"")</f>
        <v/>
      </c>
      <c r="N124" s="11" t="str">
        <f>IFERROR(VLOOKUP($J124,Спр_Дефекты!$A$4:$F$7,5,0),"")</f>
        <v/>
      </c>
      <c r="O124" s="11" t="str">
        <f>IFERROR(VLOOKUP($J124,Спр_Дефекты!$A$4:$F$7,6,0),"")</f>
        <v/>
      </c>
      <c r="P124" s="10"/>
      <c r="Q124" s="10"/>
      <c r="R124" s="10"/>
      <c r="S124" s="10"/>
      <c r="T124" s="10"/>
      <c r="U124" s="10"/>
      <c r="V124" s="11" t="str">
        <f>IFERROR(VLOOKUP($E124,Спр_Опоры!$B$4:$J$70,9,0),"")</f>
        <v/>
      </c>
      <c r="W124" s="10"/>
    </row>
    <row r="125">
      <c r="A125" s="10"/>
      <c r="B125" s="10"/>
      <c r="C125" s="10"/>
      <c r="D125" s="10"/>
      <c r="E125" s="10"/>
      <c r="F125" s="11" t="str">
        <f>IFERROR(VLOOKUP($E125,Спр_Опоры!$B$4:$J$70,2,0),"")</f>
        <v/>
      </c>
      <c r="G125" s="11" t="str">
        <f>IFERROR(VLOOKUP($E125,Спр_Опоры!$B$4:$J$70,3,0),"")</f>
        <v/>
      </c>
      <c r="H125" s="10"/>
      <c r="I125" s="10"/>
      <c r="J125" s="10"/>
      <c r="K125" s="11" t="str">
        <f>IFERROR(VLOOKUP($J125,Спр_Дефекты!$A$4:$F$7,2,0),"")</f>
        <v/>
      </c>
      <c r="L125" s="11" t="str">
        <f>IFERROR(VLOOKUP($J125,Спр_Дефекты!$A$4:$F$7,3,0),"")</f>
        <v/>
      </c>
      <c r="M125" s="11" t="str">
        <f>IFERROR(VLOOKUP($J125,Спр_Дефекты!$A$4:$F$7,4,0),"")</f>
        <v/>
      </c>
      <c r="N125" s="11" t="str">
        <f>IFERROR(VLOOKUP($J125,Спр_Дефекты!$A$4:$F$7,5,0),"")</f>
        <v/>
      </c>
      <c r="O125" s="11" t="str">
        <f>IFERROR(VLOOKUP($J125,Спр_Дефекты!$A$4:$F$7,6,0),"")</f>
        <v/>
      </c>
      <c r="P125" s="10"/>
      <c r="Q125" s="10"/>
      <c r="R125" s="10"/>
      <c r="S125" s="10"/>
      <c r="T125" s="10"/>
      <c r="U125" s="10"/>
      <c r="V125" s="11" t="str">
        <f>IFERROR(VLOOKUP($E125,Спр_Опоры!$B$4:$J$70,9,0),"")</f>
        <v/>
      </c>
      <c r="W125" s="10"/>
    </row>
    <row r="126">
      <c r="A126" s="10"/>
      <c r="B126" s="10"/>
      <c r="C126" s="10"/>
      <c r="D126" s="10"/>
      <c r="E126" s="10"/>
      <c r="F126" s="11" t="str">
        <f>IFERROR(VLOOKUP($E126,Спр_Опоры!$B$4:$J$70,2,0),"")</f>
        <v/>
      </c>
      <c r="G126" s="11" t="str">
        <f>IFERROR(VLOOKUP($E126,Спр_Опоры!$B$4:$J$70,3,0),"")</f>
        <v/>
      </c>
      <c r="H126" s="10"/>
      <c r="I126" s="10"/>
      <c r="J126" s="10"/>
      <c r="K126" s="11" t="str">
        <f>IFERROR(VLOOKUP($J126,Спр_Дефекты!$A$4:$F$7,2,0),"")</f>
        <v/>
      </c>
      <c r="L126" s="11" t="str">
        <f>IFERROR(VLOOKUP($J126,Спр_Дефекты!$A$4:$F$7,3,0),"")</f>
        <v/>
      </c>
      <c r="M126" s="11" t="str">
        <f>IFERROR(VLOOKUP($J126,Спр_Дефекты!$A$4:$F$7,4,0),"")</f>
        <v/>
      </c>
      <c r="N126" s="11" t="str">
        <f>IFERROR(VLOOKUP($J126,Спр_Дефекты!$A$4:$F$7,5,0),"")</f>
        <v/>
      </c>
      <c r="O126" s="11" t="str">
        <f>IFERROR(VLOOKUP($J126,Спр_Дефекты!$A$4:$F$7,6,0),"")</f>
        <v/>
      </c>
      <c r="P126" s="10"/>
      <c r="Q126" s="10"/>
      <c r="R126" s="10"/>
      <c r="S126" s="10"/>
      <c r="T126" s="10"/>
      <c r="U126" s="10"/>
      <c r="V126" s="11" t="str">
        <f>IFERROR(VLOOKUP($E126,Спр_Опоры!$B$4:$J$70,9,0),"")</f>
        <v/>
      </c>
      <c r="W126" s="10"/>
    </row>
    <row r="127">
      <c r="A127" s="10"/>
      <c r="B127" s="10"/>
      <c r="C127" s="10"/>
      <c r="D127" s="10"/>
      <c r="E127" s="10"/>
      <c r="F127" s="11" t="str">
        <f>IFERROR(VLOOKUP($E127,Спр_Опоры!$B$4:$J$70,2,0),"")</f>
        <v/>
      </c>
      <c r="G127" s="11" t="str">
        <f>IFERROR(VLOOKUP($E127,Спр_Опоры!$B$4:$J$70,3,0),"")</f>
        <v/>
      </c>
      <c r="H127" s="10"/>
      <c r="I127" s="10"/>
      <c r="J127" s="10"/>
      <c r="K127" s="11" t="str">
        <f>IFERROR(VLOOKUP($J127,Спр_Дефекты!$A$4:$F$7,2,0),"")</f>
        <v/>
      </c>
      <c r="L127" s="11" t="str">
        <f>IFERROR(VLOOKUP($J127,Спр_Дефекты!$A$4:$F$7,3,0),"")</f>
        <v/>
      </c>
      <c r="M127" s="11" t="str">
        <f>IFERROR(VLOOKUP($J127,Спр_Дефекты!$A$4:$F$7,4,0),"")</f>
        <v/>
      </c>
      <c r="N127" s="11" t="str">
        <f>IFERROR(VLOOKUP($J127,Спр_Дефекты!$A$4:$F$7,5,0),"")</f>
        <v/>
      </c>
      <c r="O127" s="11" t="str">
        <f>IFERROR(VLOOKUP($J127,Спр_Дефекты!$A$4:$F$7,6,0),"")</f>
        <v/>
      </c>
      <c r="P127" s="10"/>
      <c r="Q127" s="10"/>
      <c r="R127" s="10"/>
      <c r="S127" s="10"/>
      <c r="T127" s="10"/>
      <c r="U127" s="10"/>
      <c r="V127" s="11" t="str">
        <f>IFERROR(VLOOKUP($E127,Спр_Опоры!$B$4:$J$70,9,0),"")</f>
        <v/>
      </c>
      <c r="W127" s="10"/>
    </row>
    <row r="128">
      <c r="A128" s="10"/>
      <c r="B128" s="10"/>
      <c r="C128" s="10"/>
      <c r="D128" s="10"/>
      <c r="E128" s="10"/>
      <c r="F128" s="11" t="str">
        <f>IFERROR(VLOOKUP($E128,Спр_Опоры!$B$4:$J$70,2,0),"")</f>
        <v/>
      </c>
      <c r="G128" s="11" t="str">
        <f>IFERROR(VLOOKUP($E128,Спр_Опоры!$B$4:$J$70,3,0),"")</f>
        <v/>
      </c>
      <c r="H128" s="10"/>
      <c r="I128" s="10"/>
      <c r="J128" s="10"/>
      <c r="K128" s="11" t="str">
        <f>IFERROR(VLOOKUP($J128,Спр_Дефекты!$A$4:$F$7,2,0),"")</f>
        <v/>
      </c>
      <c r="L128" s="11" t="str">
        <f>IFERROR(VLOOKUP($J128,Спр_Дефекты!$A$4:$F$7,3,0),"")</f>
        <v/>
      </c>
      <c r="M128" s="11" t="str">
        <f>IFERROR(VLOOKUP($J128,Спр_Дефекты!$A$4:$F$7,4,0),"")</f>
        <v/>
      </c>
      <c r="N128" s="11" t="str">
        <f>IFERROR(VLOOKUP($J128,Спр_Дефекты!$A$4:$F$7,5,0),"")</f>
        <v/>
      </c>
      <c r="O128" s="11" t="str">
        <f>IFERROR(VLOOKUP($J128,Спр_Дефекты!$A$4:$F$7,6,0),"")</f>
        <v/>
      </c>
      <c r="P128" s="10"/>
      <c r="Q128" s="10"/>
      <c r="R128" s="10"/>
      <c r="S128" s="10"/>
      <c r="T128" s="10"/>
      <c r="U128" s="10"/>
      <c r="V128" s="11" t="str">
        <f>IFERROR(VLOOKUP($E128,Спр_Опоры!$B$4:$J$70,9,0),"")</f>
        <v/>
      </c>
      <c r="W128" s="10"/>
    </row>
    <row r="129">
      <c r="A129" s="10"/>
      <c r="B129" s="10"/>
      <c r="C129" s="10"/>
      <c r="D129" s="10"/>
      <c r="E129" s="10"/>
      <c r="F129" s="11" t="str">
        <f>IFERROR(VLOOKUP($E129,Спр_Опоры!$B$4:$J$70,2,0),"")</f>
        <v/>
      </c>
      <c r="G129" s="11" t="str">
        <f>IFERROR(VLOOKUP($E129,Спр_Опоры!$B$4:$J$70,3,0),"")</f>
        <v/>
      </c>
      <c r="H129" s="10"/>
      <c r="I129" s="10"/>
      <c r="J129" s="10"/>
      <c r="K129" s="11" t="str">
        <f>IFERROR(VLOOKUP($J129,Спр_Дефекты!$A$4:$F$7,2,0),"")</f>
        <v/>
      </c>
      <c r="L129" s="11" t="str">
        <f>IFERROR(VLOOKUP($J129,Спр_Дефекты!$A$4:$F$7,3,0),"")</f>
        <v/>
      </c>
      <c r="M129" s="11" t="str">
        <f>IFERROR(VLOOKUP($J129,Спр_Дефекты!$A$4:$F$7,4,0),"")</f>
        <v/>
      </c>
      <c r="N129" s="11" t="str">
        <f>IFERROR(VLOOKUP($J129,Спр_Дефекты!$A$4:$F$7,5,0),"")</f>
        <v/>
      </c>
      <c r="O129" s="11" t="str">
        <f>IFERROR(VLOOKUP($J129,Спр_Дефекты!$A$4:$F$7,6,0),"")</f>
        <v/>
      </c>
      <c r="P129" s="10"/>
      <c r="Q129" s="10"/>
      <c r="R129" s="10"/>
      <c r="S129" s="10"/>
      <c r="T129" s="10"/>
      <c r="U129" s="10"/>
      <c r="V129" s="11" t="str">
        <f>IFERROR(VLOOKUP($E129,Спр_Опоры!$B$4:$J$70,9,0),"")</f>
        <v/>
      </c>
      <c r="W129" s="10"/>
    </row>
    <row r="130">
      <c r="A130" s="10"/>
      <c r="B130" s="10"/>
      <c r="C130" s="10"/>
      <c r="D130" s="10"/>
      <c r="E130" s="10"/>
      <c r="F130" s="11" t="str">
        <f>IFERROR(VLOOKUP($E130,Спр_Опоры!$B$4:$J$70,2,0),"")</f>
        <v/>
      </c>
      <c r="G130" s="11" t="str">
        <f>IFERROR(VLOOKUP($E130,Спр_Опоры!$B$4:$J$70,3,0),"")</f>
        <v/>
      </c>
      <c r="H130" s="10"/>
      <c r="I130" s="10"/>
      <c r="J130" s="10"/>
      <c r="K130" s="11" t="str">
        <f>IFERROR(VLOOKUP($J130,Спр_Дефекты!$A$4:$F$7,2,0),"")</f>
        <v/>
      </c>
      <c r="L130" s="11" t="str">
        <f>IFERROR(VLOOKUP($J130,Спр_Дефекты!$A$4:$F$7,3,0),"")</f>
        <v/>
      </c>
      <c r="M130" s="11" t="str">
        <f>IFERROR(VLOOKUP($J130,Спр_Дефекты!$A$4:$F$7,4,0),"")</f>
        <v/>
      </c>
      <c r="N130" s="11" t="str">
        <f>IFERROR(VLOOKUP($J130,Спр_Дефекты!$A$4:$F$7,5,0),"")</f>
        <v/>
      </c>
      <c r="O130" s="11" t="str">
        <f>IFERROR(VLOOKUP($J130,Спр_Дефекты!$A$4:$F$7,6,0),"")</f>
        <v/>
      </c>
      <c r="P130" s="10"/>
      <c r="Q130" s="10"/>
      <c r="R130" s="10"/>
      <c r="S130" s="10"/>
      <c r="T130" s="10"/>
      <c r="U130" s="10"/>
      <c r="V130" s="11" t="str">
        <f>IFERROR(VLOOKUP($E130,Спр_Опоры!$B$4:$J$70,9,0),"")</f>
        <v/>
      </c>
      <c r="W130" s="10"/>
    </row>
    <row r="131">
      <c r="A131" s="10"/>
      <c r="B131" s="10"/>
      <c r="C131" s="10"/>
      <c r="D131" s="10"/>
      <c r="E131" s="10"/>
      <c r="F131" s="11" t="str">
        <f>IFERROR(VLOOKUP($E131,Спр_Опоры!$B$4:$J$70,2,0),"")</f>
        <v/>
      </c>
      <c r="G131" s="11" t="str">
        <f>IFERROR(VLOOKUP($E131,Спр_Опоры!$B$4:$J$70,3,0),"")</f>
        <v/>
      </c>
      <c r="H131" s="10"/>
      <c r="I131" s="10"/>
      <c r="J131" s="10"/>
      <c r="K131" s="11" t="str">
        <f>IFERROR(VLOOKUP($J131,Спр_Дефекты!$A$4:$F$7,2,0),"")</f>
        <v/>
      </c>
      <c r="L131" s="11" t="str">
        <f>IFERROR(VLOOKUP($J131,Спр_Дефекты!$A$4:$F$7,3,0),"")</f>
        <v/>
      </c>
      <c r="M131" s="11" t="str">
        <f>IFERROR(VLOOKUP($J131,Спр_Дефекты!$A$4:$F$7,4,0),"")</f>
        <v/>
      </c>
      <c r="N131" s="11" t="str">
        <f>IFERROR(VLOOKUP($J131,Спр_Дефекты!$A$4:$F$7,5,0),"")</f>
        <v/>
      </c>
      <c r="O131" s="11" t="str">
        <f>IFERROR(VLOOKUP($J131,Спр_Дефекты!$A$4:$F$7,6,0),"")</f>
        <v/>
      </c>
      <c r="P131" s="10"/>
      <c r="Q131" s="10"/>
      <c r="R131" s="10"/>
      <c r="S131" s="10"/>
      <c r="T131" s="10"/>
      <c r="U131" s="10"/>
      <c r="V131" s="11" t="str">
        <f>IFERROR(VLOOKUP($E131,Спр_Опоры!$B$4:$J$70,9,0),"")</f>
        <v/>
      </c>
      <c r="W131" s="10"/>
    </row>
    <row r="132">
      <c r="A132" s="10"/>
      <c r="B132" s="10"/>
      <c r="C132" s="10"/>
      <c r="D132" s="10"/>
      <c r="E132" s="10"/>
      <c r="F132" s="11" t="str">
        <f>IFERROR(VLOOKUP($E132,Спр_Опоры!$B$4:$J$70,2,0),"")</f>
        <v/>
      </c>
      <c r="G132" s="11" t="str">
        <f>IFERROR(VLOOKUP($E132,Спр_Опоры!$B$4:$J$70,3,0),"")</f>
        <v/>
      </c>
      <c r="H132" s="10"/>
      <c r="I132" s="10"/>
      <c r="J132" s="10"/>
      <c r="K132" s="11" t="str">
        <f>IFERROR(VLOOKUP($J132,Спр_Дефекты!$A$4:$F$7,2,0),"")</f>
        <v/>
      </c>
      <c r="L132" s="11" t="str">
        <f>IFERROR(VLOOKUP($J132,Спр_Дефекты!$A$4:$F$7,3,0),"")</f>
        <v/>
      </c>
      <c r="M132" s="11" t="str">
        <f>IFERROR(VLOOKUP($J132,Спр_Дефекты!$A$4:$F$7,4,0),"")</f>
        <v/>
      </c>
      <c r="N132" s="11" t="str">
        <f>IFERROR(VLOOKUP($J132,Спр_Дефекты!$A$4:$F$7,5,0),"")</f>
        <v/>
      </c>
      <c r="O132" s="11" t="str">
        <f>IFERROR(VLOOKUP($J132,Спр_Дефекты!$A$4:$F$7,6,0),"")</f>
        <v/>
      </c>
      <c r="P132" s="10"/>
      <c r="Q132" s="10"/>
      <c r="R132" s="10"/>
      <c r="S132" s="10"/>
      <c r="T132" s="10"/>
      <c r="U132" s="10"/>
      <c r="V132" s="11" t="str">
        <f>IFERROR(VLOOKUP($E132,Спр_Опоры!$B$4:$J$70,9,0),"")</f>
        <v/>
      </c>
      <c r="W132" s="10"/>
    </row>
    <row r="133">
      <c r="A133" s="10"/>
      <c r="B133" s="10"/>
      <c r="C133" s="10"/>
      <c r="D133" s="10"/>
      <c r="E133" s="10"/>
      <c r="F133" s="11" t="str">
        <f>IFERROR(VLOOKUP($E133,Спр_Опоры!$B$4:$J$70,2,0),"")</f>
        <v/>
      </c>
      <c r="G133" s="11" t="str">
        <f>IFERROR(VLOOKUP($E133,Спр_Опоры!$B$4:$J$70,3,0),"")</f>
        <v/>
      </c>
      <c r="H133" s="10"/>
      <c r="I133" s="10"/>
      <c r="J133" s="10"/>
      <c r="K133" s="11" t="str">
        <f>IFERROR(VLOOKUP($J133,Спр_Дефекты!$A$4:$F$7,2,0),"")</f>
        <v/>
      </c>
      <c r="L133" s="11" t="str">
        <f>IFERROR(VLOOKUP($J133,Спр_Дефекты!$A$4:$F$7,3,0),"")</f>
        <v/>
      </c>
      <c r="M133" s="11" t="str">
        <f>IFERROR(VLOOKUP($J133,Спр_Дефекты!$A$4:$F$7,4,0),"")</f>
        <v/>
      </c>
      <c r="N133" s="11" t="str">
        <f>IFERROR(VLOOKUP($J133,Спр_Дефекты!$A$4:$F$7,5,0),"")</f>
        <v/>
      </c>
      <c r="O133" s="11" t="str">
        <f>IFERROR(VLOOKUP($J133,Спр_Дефекты!$A$4:$F$7,6,0),"")</f>
        <v/>
      </c>
      <c r="P133" s="10"/>
      <c r="Q133" s="10"/>
      <c r="R133" s="10"/>
      <c r="S133" s="10"/>
      <c r="T133" s="10"/>
      <c r="U133" s="10"/>
      <c r="V133" s="11" t="str">
        <f>IFERROR(VLOOKUP($E133,Спр_Опоры!$B$4:$J$70,9,0),"")</f>
        <v/>
      </c>
      <c r="W133" s="10"/>
    </row>
    <row r="134">
      <c r="A134" s="10"/>
      <c r="B134" s="10"/>
      <c r="C134" s="10"/>
      <c r="D134" s="10"/>
      <c r="E134" s="10"/>
      <c r="F134" s="11" t="str">
        <f>IFERROR(VLOOKUP($E134,Спр_Опоры!$B$4:$J$70,2,0),"")</f>
        <v/>
      </c>
      <c r="G134" s="11" t="str">
        <f>IFERROR(VLOOKUP($E134,Спр_Опоры!$B$4:$J$70,3,0),"")</f>
        <v/>
      </c>
      <c r="H134" s="10"/>
      <c r="I134" s="10"/>
      <c r="J134" s="10"/>
      <c r="K134" s="11" t="str">
        <f>IFERROR(VLOOKUP($J134,Спр_Дефекты!$A$4:$F$7,2,0),"")</f>
        <v/>
      </c>
      <c r="L134" s="11" t="str">
        <f>IFERROR(VLOOKUP($J134,Спр_Дефекты!$A$4:$F$7,3,0),"")</f>
        <v/>
      </c>
      <c r="M134" s="11" t="str">
        <f>IFERROR(VLOOKUP($J134,Спр_Дефекты!$A$4:$F$7,4,0),"")</f>
        <v/>
      </c>
      <c r="N134" s="11" t="str">
        <f>IFERROR(VLOOKUP($J134,Спр_Дефекты!$A$4:$F$7,5,0),"")</f>
        <v/>
      </c>
      <c r="O134" s="11" t="str">
        <f>IFERROR(VLOOKUP($J134,Спр_Дефекты!$A$4:$F$7,6,0),"")</f>
        <v/>
      </c>
      <c r="P134" s="10"/>
      <c r="Q134" s="10"/>
      <c r="R134" s="10"/>
      <c r="S134" s="10"/>
      <c r="T134" s="10"/>
      <c r="U134" s="10"/>
      <c r="V134" s="11" t="str">
        <f>IFERROR(VLOOKUP($E134,Спр_Опоры!$B$4:$J$70,9,0),"")</f>
        <v/>
      </c>
      <c r="W134" s="10"/>
    </row>
    <row r="135">
      <c r="A135" s="10"/>
      <c r="B135" s="10"/>
      <c r="C135" s="10"/>
      <c r="D135" s="10"/>
      <c r="E135" s="10"/>
      <c r="F135" s="11" t="str">
        <f>IFERROR(VLOOKUP($E135,Спр_Опоры!$B$4:$J$70,2,0),"")</f>
        <v/>
      </c>
      <c r="G135" s="11" t="str">
        <f>IFERROR(VLOOKUP($E135,Спр_Опоры!$B$4:$J$70,3,0),"")</f>
        <v/>
      </c>
      <c r="H135" s="10"/>
      <c r="I135" s="10"/>
      <c r="J135" s="10"/>
      <c r="K135" s="11" t="str">
        <f>IFERROR(VLOOKUP($J135,Спр_Дефекты!$A$4:$F$7,2,0),"")</f>
        <v/>
      </c>
      <c r="L135" s="11" t="str">
        <f>IFERROR(VLOOKUP($J135,Спр_Дефекты!$A$4:$F$7,3,0),"")</f>
        <v/>
      </c>
      <c r="M135" s="11" t="str">
        <f>IFERROR(VLOOKUP($J135,Спр_Дефекты!$A$4:$F$7,4,0),"")</f>
        <v/>
      </c>
      <c r="N135" s="11" t="str">
        <f>IFERROR(VLOOKUP($J135,Спр_Дефекты!$A$4:$F$7,5,0),"")</f>
        <v/>
      </c>
      <c r="O135" s="11" t="str">
        <f>IFERROR(VLOOKUP($J135,Спр_Дефекты!$A$4:$F$7,6,0),"")</f>
        <v/>
      </c>
      <c r="P135" s="10"/>
      <c r="Q135" s="10"/>
      <c r="R135" s="10"/>
      <c r="S135" s="10"/>
      <c r="T135" s="10"/>
      <c r="U135" s="10"/>
      <c r="V135" s="11" t="str">
        <f>IFERROR(VLOOKUP($E135,Спр_Опоры!$B$4:$J$70,9,0),"")</f>
        <v/>
      </c>
      <c r="W135" s="10"/>
    </row>
    <row r="136">
      <c r="A136" s="10"/>
      <c r="B136" s="10"/>
      <c r="C136" s="10"/>
      <c r="D136" s="10"/>
      <c r="E136" s="10"/>
      <c r="F136" s="11" t="str">
        <f>IFERROR(VLOOKUP($E136,Спр_Опоры!$B$4:$J$70,2,0),"")</f>
        <v/>
      </c>
      <c r="G136" s="11" t="str">
        <f>IFERROR(VLOOKUP($E136,Спр_Опоры!$B$4:$J$70,3,0),"")</f>
        <v/>
      </c>
      <c r="H136" s="10"/>
      <c r="I136" s="10"/>
      <c r="J136" s="10"/>
      <c r="K136" s="11" t="str">
        <f>IFERROR(VLOOKUP($J136,Спр_Дефекты!$A$4:$F$7,2,0),"")</f>
        <v/>
      </c>
      <c r="L136" s="11" t="str">
        <f>IFERROR(VLOOKUP($J136,Спр_Дефекты!$A$4:$F$7,3,0),"")</f>
        <v/>
      </c>
      <c r="M136" s="11" t="str">
        <f>IFERROR(VLOOKUP($J136,Спр_Дефекты!$A$4:$F$7,4,0),"")</f>
        <v/>
      </c>
      <c r="N136" s="11" t="str">
        <f>IFERROR(VLOOKUP($J136,Спр_Дефекты!$A$4:$F$7,5,0),"")</f>
        <v/>
      </c>
      <c r="O136" s="11" t="str">
        <f>IFERROR(VLOOKUP($J136,Спр_Дефекты!$A$4:$F$7,6,0),"")</f>
        <v/>
      </c>
      <c r="P136" s="10"/>
      <c r="Q136" s="10"/>
      <c r="R136" s="10"/>
      <c r="S136" s="10"/>
      <c r="T136" s="10"/>
      <c r="U136" s="10"/>
      <c r="V136" s="11" t="str">
        <f>IFERROR(VLOOKUP($E136,Спр_Опоры!$B$4:$J$70,9,0),"")</f>
        <v/>
      </c>
      <c r="W136" s="10"/>
    </row>
    <row r="137">
      <c r="A137" s="10"/>
      <c r="B137" s="10"/>
      <c r="C137" s="10"/>
      <c r="D137" s="10"/>
      <c r="E137" s="10"/>
      <c r="F137" s="11" t="str">
        <f>IFERROR(VLOOKUP($E137,Спр_Опоры!$B$4:$J$70,2,0),"")</f>
        <v/>
      </c>
      <c r="G137" s="11" t="str">
        <f>IFERROR(VLOOKUP($E137,Спр_Опоры!$B$4:$J$70,3,0),"")</f>
        <v/>
      </c>
      <c r="H137" s="10"/>
      <c r="I137" s="10"/>
      <c r="J137" s="10"/>
      <c r="K137" s="11" t="str">
        <f>IFERROR(VLOOKUP($J137,Спр_Дефекты!$A$4:$F$7,2,0),"")</f>
        <v/>
      </c>
      <c r="L137" s="11" t="str">
        <f>IFERROR(VLOOKUP($J137,Спр_Дефекты!$A$4:$F$7,3,0),"")</f>
        <v/>
      </c>
      <c r="M137" s="11" t="str">
        <f>IFERROR(VLOOKUP($J137,Спр_Дефекты!$A$4:$F$7,4,0),"")</f>
        <v/>
      </c>
      <c r="N137" s="11" t="str">
        <f>IFERROR(VLOOKUP($J137,Спр_Дефекты!$A$4:$F$7,5,0),"")</f>
        <v/>
      </c>
      <c r="O137" s="11" t="str">
        <f>IFERROR(VLOOKUP($J137,Спр_Дефекты!$A$4:$F$7,6,0),"")</f>
        <v/>
      </c>
      <c r="P137" s="10"/>
      <c r="Q137" s="10"/>
      <c r="R137" s="10"/>
      <c r="S137" s="10"/>
      <c r="T137" s="10"/>
      <c r="U137" s="10"/>
      <c r="V137" s="11" t="str">
        <f>IFERROR(VLOOKUP($E137,Спр_Опоры!$B$4:$J$70,9,0),"")</f>
        <v/>
      </c>
      <c r="W137" s="10"/>
    </row>
    <row r="138">
      <c r="A138" s="10"/>
      <c r="B138" s="10"/>
      <c r="C138" s="10"/>
      <c r="D138" s="10"/>
      <c r="E138" s="10"/>
      <c r="F138" s="11" t="str">
        <f>IFERROR(VLOOKUP($E138,Спр_Опоры!$B$4:$J$70,2,0),"")</f>
        <v/>
      </c>
      <c r="G138" s="11" t="str">
        <f>IFERROR(VLOOKUP($E138,Спр_Опоры!$B$4:$J$70,3,0),"")</f>
        <v/>
      </c>
      <c r="H138" s="10"/>
      <c r="I138" s="10"/>
      <c r="J138" s="10"/>
      <c r="K138" s="11" t="str">
        <f>IFERROR(VLOOKUP($J138,Спр_Дефекты!$A$4:$F$7,2,0),"")</f>
        <v/>
      </c>
      <c r="L138" s="11" t="str">
        <f>IFERROR(VLOOKUP($J138,Спр_Дефекты!$A$4:$F$7,3,0),"")</f>
        <v/>
      </c>
      <c r="M138" s="11" t="str">
        <f>IFERROR(VLOOKUP($J138,Спр_Дефекты!$A$4:$F$7,4,0),"")</f>
        <v/>
      </c>
      <c r="N138" s="11" t="str">
        <f>IFERROR(VLOOKUP($J138,Спр_Дефекты!$A$4:$F$7,5,0),"")</f>
        <v/>
      </c>
      <c r="O138" s="11" t="str">
        <f>IFERROR(VLOOKUP($J138,Спр_Дефекты!$A$4:$F$7,6,0),"")</f>
        <v/>
      </c>
      <c r="P138" s="10"/>
      <c r="Q138" s="10"/>
      <c r="R138" s="10"/>
      <c r="S138" s="10"/>
      <c r="T138" s="10"/>
      <c r="U138" s="10"/>
      <c r="V138" s="11" t="str">
        <f>IFERROR(VLOOKUP($E138,Спр_Опоры!$B$4:$J$70,9,0),"")</f>
        <v/>
      </c>
      <c r="W138" s="10"/>
    </row>
    <row r="139">
      <c r="A139" s="10"/>
      <c r="B139" s="10"/>
      <c r="C139" s="10"/>
      <c r="D139" s="10"/>
      <c r="E139" s="10"/>
      <c r="F139" s="11" t="str">
        <f>IFERROR(VLOOKUP($E139,Спр_Опоры!$B$4:$J$70,2,0),"")</f>
        <v/>
      </c>
      <c r="G139" s="11" t="str">
        <f>IFERROR(VLOOKUP($E139,Спр_Опоры!$B$4:$J$70,3,0),"")</f>
        <v/>
      </c>
      <c r="H139" s="10"/>
      <c r="I139" s="10"/>
      <c r="J139" s="10"/>
      <c r="K139" s="11" t="str">
        <f>IFERROR(VLOOKUP($J139,Спр_Дефекты!$A$4:$F$7,2,0),"")</f>
        <v/>
      </c>
      <c r="L139" s="11" t="str">
        <f>IFERROR(VLOOKUP($J139,Спр_Дефекты!$A$4:$F$7,3,0),"")</f>
        <v/>
      </c>
      <c r="M139" s="11" t="str">
        <f>IFERROR(VLOOKUP($J139,Спр_Дефекты!$A$4:$F$7,4,0),"")</f>
        <v/>
      </c>
      <c r="N139" s="11" t="str">
        <f>IFERROR(VLOOKUP($J139,Спр_Дефекты!$A$4:$F$7,5,0),"")</f>
        <v/>
      </c>
      <c r="O139" s="11" t="str">
        <f>IFERROR(VLOOKUP($J139,Спр_Дефекты!$A$4:$F$7,6,0),"")</f>
        <v/>
      </c>
      <c r="P139" s="10"/>
      <c r="Q139" s="10"/>
      <c r="R139" s="10"/>
      <c r="S139" s="10"/>
      <c r="T139" s="10"/>
      <c r="U139" s="10"/>
      <c r="V139" s="11" t="str">
        <f>IFERROR(VLOOKUP($E139,Спр_Опоры!$B$4:$J$70,9,0),"")</f>
        <v/>
      </c>
      <c r="W139" s="10"/>
    </row>
    <row r="140">
      <c r="A140" s="10"/>
      <c r="B140" s="10"/>
      <c r="C140" s="10"/>
      <c r="D140" s="10"/>
      <c r="E140" s="10"/>
      <c r="F140" s="11" t="str">
        <f>IFERROR(VLOOKUP($E140,Спр_Опоры!$B$4:$J$70,2,0),"")</f>
        <v/>
      </c>
      <c r="G140" s="11" t="str">
        <f>IFERROR(VLOOKUP($E140,Спр_Опоры!$B$4:$J$70,3,0),"")</f>
        <v/>
      </c>
      <c r="H140" s="10"/>
      <c r="I140" s="10"/>
      <c r="J140" s="10"/>
      <c r="K140" s="11" t="str">
        <f>IFERROR(VLOOKUP($J140,Спр_Дефекты!$A$4:$F$7,2,0),"")</f>
        <v/>
      </c>
      <c r="L140" s="11" t="str">
        <f>IFERROR(VLOOKUP($J140,Спр_Дефекты!$A$4:$F$7,3,0),"")</f>
        <v/>
      </c>
      <c r="M140" s="11" t="str">
        <f>IFERROR(VLOOKUP($J140,Спр_Дефекты!$A$4:$F$7,4,0),"")</f>
        <v/>
      </c>
      <c r="N140" s="11" t="str">
        <f>IFERROR(VLOOKUP($J140,Спр_Дефекты!$A$4:$F$7,5,0),"")</f>
        <v/>
      </c>
      <c r="O140" s="11" t="str">
        <f>IFERROR(VLOOKUP($J140,Спр_Дефекты!$A$4:$F$7,6,0),"")</f>
        <v/>
      </c>
      <c r="P140" s="10"/>
      <c r="Q140" s="10"/>
      <c r="R140" s="10"/>
      <c r="S140" s="10"/>
      <c r="T140" s="10"/>
      <c r="U140" s="10"/>
      <c r="V140" s="11" t="str">
        <f>IFERROR(VLOOKUP($E140,Спр_Опоры!$B$4:$J$70,9,0),"")</f>
        <v/>
      </c>
      <c r="W140" s="10"/>
    </row>
    <row r="141">
      <c r="A141" s="10"/>
      <c r="B141" s="10"/>
      <c r="C141" s="10"/>
      <c r="D141" s="10"/>
      <c r="E141" s="10"/>
      <c r="F141" s="11" t="str">
        <f>IFERROR(VLOOKUP($E141,Спр_Опоры!$B$4:$J$70,2,0),"")</f>
        <v/>
      </c>
      <c r="G141" s="11" t="str">
        <f>IFERROR(VLOOKUP($E141,Спр_Опоры!$B$4:$J$70,3,0),"")</f>
        <v/>
      </c>
      <c r="H141" s="10"/>
      <c r="I141" s="10"/>
      <c r="J141" s="10"/>
      <c r="K141" s="11" t="str">
        <f>IFERROR(VLOOKUP($J141,Спр_Дефекты!$A$4:$F$7,2,0),"")</f>
        <v/>
      </c>
      <c r="L141" s="11" t="str">
        <f>IFERROR(VLOOKUP($J141,Спр_Дефекты!$A$4:$F$7,3,0),"")</f>
        <v/>
      </c>
      <c r="M141" s="11" t="str">
        <f>IFERROR(VLOOKUP($J141,Спр_Дефекты!$A$4:$F$7,4,0),"")</f>
        <v/>
      </c>
      <c r="N141" s="11" t="str">
        <f>IFERROR(VLOOKUP($J141,Спр_Дефекты!$A$4:$F$7,5,0),"")</f>
        <v/>
      </c>
      <c r="O141" s="11" t="str">
        <f>IFERROR(VLOOKUP($J141,Спр_Дефекты!$A$4:$F$7,6,0),"")</f>
        <v/>
      </c>
      <c r="P141" s="10"/>
      <c r="Q141" s="10"/>
      <c r="R141" s="10"/>
      <c r="S141" s="10"/>
      <c r="T141" s="10"/>
      <c r="U141" s="10"/>
      <c r="V141" s="11" t="str">
        <f>IFERROR(VLOOKUP($E141,Спр_Опоры!$B$4:$J$70,9,0),"")</f>
        <v/>
      </c>
      <c r="W141" s="10"/>
    </row>
    <row r="142">
      <c r="A142" s="10"/>
      <c r="B142" s="10"/>
      <c r="C142" s="10"/>
      <c r="D142" s="10"/>
      <c r="E142" s="10"/>
      <c r="F142" s="11" t="str">
        <f>IFERROR(VLOOKUP($E142,Спр_Опоры!$B$4:$J$70,2,0),"")</f>
        <v/>
      </c>
      <c r="G142" s="11" t="str">
        <f>IFERROR(VLOOKUP($E142,Спр_Опоры!$B$4:$J$70,3,0),"")</f>
        <v/>
      </c>
      <c r="H142" s="10"/>
      <c r="I142" s="10"/>
      <c r="J142" s="10"/>
      <c r="K142" s="11" t="str">
        <f>IFERROR(VLOOKUP($J142,Спр_Дефекты!$A$4:$F$7,2,0),"")</f>
        <v/>
      </c>
      <c r="L142" s="11" t="str">
        <f>IFERROR(VLOOKUP($J142,Спр_Дефекты!$A$4:$F$7,3,0),"")</f>
        <v/>
      </c>
      <c r="M142" s="11" t="str">
        <f>IFERROR(VLOOKUP($J142,Спр_Дефекты!$A$4:$F$7,4,0),"")</f>
        <v/>
      </c>
      <c r="N142" s="11" t="str">
        <f>IFERROR(VLOOKUP($J142,Спр_Дефекты!$A$4:$F$7,5,0),"")</f>
        <v/>
      </c>
      <c r="O142" s="11" t="str">
        <f>IFERROR(VLOOKUP($J142,Спр_Дефекты!$A$4:$F$7,6,0),"")</f>
        <v/>
      </c>
      <c r="P142" s="10"/>
      <c r="Q142" s="10"/>
      <c r="R142" s="10"/>
      <c r="S142" s="10"/>
      <c r="T142" s="10"/>
      <c r="U142" s="10"/>
      <c r="V142" s="11" t="str">
        <f>IFERROR(VLOOKUP($E142,Спр_Опоры!$B$4:$J$70,9,0),"")</f>
        <v/>
      </c>
      <c r="W142" s="10"/>
    </row>
    <row r="143">
      <c r="A143" s="10"/>
      <c r="B143" s="10"/>
      <c r="C143" s="10"/>
      <c r="D143" s="10"/>
      <c r="E143" s="10"/>
      <c r="F143" s="11" t="str">
        <f>IFERROR(VLOOKUP($E143,Спр_Опоры!$B$4:$J$70,2,0),"")</f>
        <v/>
      </c>
      <c r="G143" s="11" t="str">
        <f>IFERROR(VLOOKUP($E143,Спр_Опоры!$B$4:$J$70,3,0),"")</f>
        <v/>
      </c>
      <c r="H143" s="10"/>
      <c r="I143" s="10"/>
      <c r="J143" s="10"/>
      <c r="K143" s="11" t="str">
        <f>IFERROR(VLOOKUP($J143,Спр_Дефекты!$A$4:$F$7,2,0),"")</f>
        <v/>
      </c>
      <c r="L143" s="11" t="str">
        <f>IFERROR(VLOOKUP($J143,Спр_Дефекты!$A$4:$F$7,3,0),"")</f>
        <v/>
      </c>
      <c r="M143" s="11" t="str">
        <f>IFERROR(VLOOKUP($J143,Спр_Дефекты!$A$4:$F$7,4,0),"")</f>
        <v/>
      </c>
      <c r="N143" s="11" t="str">
        <f>IFERROR(VLOOKUP($J143,Спр_Дефекты!$A$4:$F$7,5,0),"")</f>
        <v/>
      </c>
      <c r="O143" s="11" t="str">
        <f>IFERROR(VLOOKUP($J143,Спр_Дефекты!$A$4:$F$7,6,0),"")</f>
        <v/>
      </c>
      <c r="P143" s="10"/>
      <c r="Q143" s="10"/>
      <c r="R143" s="10"/>
      <c r="S143" s="10"/>
      <c r="T143" s="10"/>
      <c r="U143" s="10"/>
      <c r="V143" s="11" t="str">
        <f>IFERROR(VLOOKUP($E143,Спр_Опоры!$B$4:$J$70,9,0),"")</f>
        <v/>
      </c>
      <c r="W143" s="10"/>
    </row>
    <row r="144">
      <c r="A144" s="10"/>
      <c r="B144" s="10"/>
      <c r="C144" s="10"/>
      <c r="D144" s="10"/>
      <c r="E144" s="10"/>
      <c r="F144" s="11" t="str">
        <f>IFERROR(VLOOKUP($E144,Спр_Опоры!$B$4:$J$70,2,0),"")</f>
        <v/>
      </c>
      <c r="G144" s="11" t="str">
        <f>IFERROR(VLOOKUP($E144,Спр_Опоры!$B$4:$J$70,3,0),"")</f>
        <v/>
      </c>
      <c r="H144" s="10"/>
      <c r="I144" s="10"/>
      <c r="J144" s="10"/>
      <c r="K144" s="11" t="str">
        <f>IFERROR(VLOOKUP($J144,Спр_Дефекты!$A$4:$F$7,2,0),"")</f>
        <v/>
      </c>
      <c r="L144" s="11" t="str">
        <f>IFERROR(VLOOKUP($J144,Спр_Дефекты!$A$4:$F$7,3,0),"")</f>
        <v/>
      </c>
      <c r="M144" s="11" t="str">
        <f>IFERROR(VLOOKUP($J144,Спр_Дефекты!$A$4:$F$7,4,0),"")</f>
        <v/>
      </c>
      <c r="N144" s="11" t="str">
        <f>IFERROR(VLOOKUP($J144,Спр_Дефекты!$A$4:$F$7,5,0),"")</f>
        <v/>
      </c>
      <c r="O144" s="11" t="str">
        <f>IFERROR(VLOOKUP($J144,Спр_Дефекты!$A$4:$F$7,6,0),"")</f>
        <v/>
      </c>
      <c r="P144" s="10"/>
      <c r="Q144" s="10"/>
      <c r="R144" s="10"/>
      <c r="S144" s="10"/>
      <c r="T144" s="10"/>
      <c r="U144" s="10"/>
      <c r="V144" s="11" t="str">
        <f>IFERROR(VLOOKUP($E144,Спр_Опоры!$B$4:$J$70,9,0),"")</f>
        <v/>
      </c>
      <c r="W144" s="10"/>
    </row>
    <row r="145">
      <c r="A145" s="10"/>
      <c r="B145" s="10"/>
      <c r="C145" s="10"/>
      <c r="D145" s="10"/>
      <c r="E145" s="10"/>
      <c r="F145" s="11" t="str">
        <f>IFERROR(VLOOKUP($E145,Спр_Опоры!$B$4:$J$70,2,0),"")</f>
        <v/>
      </c>
      <c r="G145" s="11" t="str">
        <f>IFERROR(VLOOKUP($E145,Спр_Опоры!$B$4:$J$70,3,0),"")</f>
        <v/>
      </c>
      <c r="H145" s="10"/>
      <c r="I145" s="10"/>
      <c r="J145" s="10"/>
      <c r="K145" s="11" t="str">
        <f>IFERROR(VLOOKUP($J145,Спр_Дефекты!$A$4:$F$7,2,0),"")</f>
        <v/>
      </c>
      <c r="L145" s="11" t="str">
        <f>IFERROR(VLOOKUP($J145,Спр_Дефекты!$A$4:$F$7,3,0),"")</f>
        <v/>
      </c>
      <c r="M145" s="11" t="str">
        <f>IFERROR(VLOOKUP($J145,Спр_Дефекты!$A$4:$F$7,4,0),"")</f>
        <v/>
      </c>
      <c r="N145" s="11" t="str">
        <f>IFERROR(VLOOKUP($J145,Спр_Дефекты!$A$4:$F$7,5,0),"")</f>
        <v/>
      </c>
      <c r="O145" s="11" t="str">
        <f>IFERROR(VLOOKUP($J145,Спр_Дефекты!$A$4:$F$7,6,0),"")</f>
        <v/>
      </c>
      <c r="P145" s="10"/>
      <c r="Q145" s="10"/>
      <c r="R145" s="10"/>
      <c r="S145" s="10"/>
      <c r="T145" s="10"/>
      <c r="U145" s="10"/>
      <c r="V145" s="11" t="str">
        <f>IFERROR(VLOOKUP($E145,Спр_Опоры!$B$4:$J$70,9,0),"")</f>
        <v/>
      </c>
      <c r="W145" s="10"/>
    </row>
    <row r="146">
      <c r="A146" s="10"/>
      <c r="B146" s="10"/>
      <c r="C146" s="10"/>
      <c r="D146" s="10"/>
      <c r="E146" s="10"/>
      <c r="F146" s="11" t="str">
        <f>IFERROR(VLOOKUP($E146,Спр_Опоры!$B$4:$J$70,2,0),"")</f>
        <v/>
      </c>
      <c r="G146" s="11" t="str">
        <f>IFERROR(VLOOKUP($E146,Спр_Опоры!$B$4:$J$70,3,0),"")</f>
        <v/>
      </c>
      <c r="H146" s="10"/>
      <c r="I146" s="10"/>
      <c r="J146" s="10"/>
      <c r="K146" s="11" t="str">
        <f>IFERROR(VLOOKUP($J146,Спр_Дефекты!$A$4:$F$7,2,0),"")</f>
        <v/>
      </c>
      <c r="L146" s="11" t="str">
        <f>IFERROR(VLOOKUP($J146,Спр_Дефекты!$A$4:$F$7,3,0),"")</f>
        <v/>
      </c>
      <c r="M146" s="11" t="str">
        <f>IFERROR(VLOOKUP($J146,Спр_Дефекты!$A$4:$F$7,4,0),"")</f>
        <v/>
      </c>
      <c r="N146" s="11" t="str">
        <f>IFERROR(VLOOKUP($J146,Спр_Дефекты!$A$4:$F$7,5,0),"")</f>
        <v/>
      </c>
      <c r="O146" s="11" t="str">
        <f>IFERROR(VLOOKUP($J146,Спр_Дефекты!$A$4:$F$7,6,0),"")</f>
        <v/>
      </c>
      <c r="P146" s="10"/>
      <c r="Q146" s="10"/>
      <c r="R146" s="10"/>
      <c r="S146" s="10"/>
      <c r="T146" s="10"/>
      <c r="U146" s="10"/>
      <c r="V146" s="11" t="str">
        <f>IFERROR(VLOOKUP($E146,Спр_Опоры!$B$4:$J$70,9,0),"")</f>
        <v/>
      </c>
      <c r="W146" s="10"/>
    </row>
    <row r="147">
      <c r="A147" s="10"/>
      <c r="B147" s="10"/>
      <c r="C147" s="10"/>
      <c r="D147" s="10"/>
      <c r="E147" s="10"/>
      <c r="F147" s="11" t="str">
        <f>IFERROR(VLOOKUP($E147,Спр_Опоры!$B$4:$J$70,2,0),"")</f>
        <v/>
      </c>
      <c r="G147" s="11" t="str">
        <f>IFERROR(VLOOKUP($E147,Спр_Опоры!$B$4:$J$70,3,0),"")</f>
        <v/>
      </c>
      <c r="H147" s="10"/>
      <c r="I147" s="10"/>
      <c r="J147" s="10"/>
      <c r="K147" s="11" t="str">
        <f>IFERROR(VLOOKUP($J147,Спр_Дефекты!$A$4:$F$7,2,0),"")</f>
        <v/>
      </c>
      <c r="L147" s="11" t="str">
        <f>IFERROR(VLOOKUP($J147,Спр_Дефекты!$A$4:$F$7,3,0),"")</f>
        <v/>
      </c>
      <c r="M147" s="11" t="str">
        <f>IFERROR(VLOOKUP($J147,Спр_Дефекты!$A$4:$F$7,4,0),"")</f>
        <v/>
      </c>
      <c r="N147" s="11" t="str">
        <f>IFERROR(VLOOKUP($J147,Спр_Дефекты!$A$4:$F$7,5,0),"")</f>
        <v/>
      </c>
      <c r="O147" s="11" t="str">
        <f>IFERROR(VLOOKUP($J147,Спр_Дефекты!$A$4:$F$7,6,0),"")</f>
        <v/>
      </c>
      <c r="P147" s="10"/>
      <c r="Q147" s="10"/>
      <c r="R147" s="10"/>
      <c r="S147" s="10"/>
      <c r="T147" s="10"/>
      <c r="U147" s="10"/>
      <c r="V147" s="11" t="str">
        <f>IFERROR(VLOOKUP($E147,Спр_Опоры!$B$4:$J$70,9,0),"")</f>
        <v/>
      </c>
      <c r="W147" s="10"/>
    </row>
    <row r="148">
      <c r="A148" s="10"/>
      <c r="B148" s="10"/>
      <c r="C148" s="10"/>
      <c r="D148" s="10"/>
      <c r="E148" s="10"/>
      <c r="F148" s="11" t="str">
        <f>IFERROR(VLOOKUP($E148,Спр_Опоры!$B$4:$J$70,2,0),"")</f>
        <v/>
      </c>
      <c r="G148" s="11" t="str">
        <f>IFERROR(VLOOKUP($E148,Спр_Опоры!$B$4:$J$70,3,0),"")</f>
        <v/>
      </c>
      <c r="H148" s="10"/>
      <c r="I148" s="10"/>
      <c r="J148" s="10"/>
      <c r="K148" s="11" t="str">
        <f>IFERROR(VLOOKUP($J148,Спр_Дефекты!$A$4:$F$7,2,0),"")</f>
        <v/>
      </c>
      <c r="L148" s="11" t="str">
        <f>IFERROR(VLOOKUP($J148,Спр_Дефекты!$A$4:$F$7,3,0),"")</f>
        <v/>
      </c>
      <c r="M148" s="11" t="str">
        <f>IFERROR(VLOOKUP($J148,Спр_Дефекты!$A$4:$F$7,4,0),"")</f>
        <v/>
      </c>
      <c r="N148" s="11" t="str">
        <f>IFERROR(VLOOKUP($J148,Спр_Дефекты!$A$4:$F$7,5,0),"")</f>
        <v/>
      </c>
      <c r="O148" s="11" t="str">
        <f>IFERROR(VLOOKUP($J148,Спр_Дефекты!$A$4:$F$7,6,0),"")</f>
        <v/>
      </c>
      <c r="P148" s="10"/>
      <c r="Q148" s="10"/>
      <c r="R148" s="10"/>
      <c r="S148" s="10"/>
      <c r="T148" s="10"/>
      <c r="U148" s="10"/>
      <c r="V148" s="11" t="str">
        <f>IFERROR(VLOOKUP($E148,Спр_Опоры!$B$4:$J$70,9,0),"")</f>
        <v/>
      </c>
      <c r="W148" s="10"/>
    </row>
    <row r="149">
      <c r="A149" s="10"/>
      <c r="B149" s="10"/>
      <c r="C149" s="10"/>
      <c r="D149" s="10"/>
      <c r="E149" s="10"/>
      <c r="F149" s="11" t="str">
        <f>IFERROR(VLOOKUP($E149,Спр_Опоры!$B$4:$J$70,2,0),"")</f>
        <v/>
      </c>
      <c r="G149" s="11" t="str">
        <f>IFERROR(VLOOKUP($E149,Спр_Опоры!$B$4:$J$70,3,0),"")</f>
        <v/>
      </c>
      <c r="H149" s="10"/>
      <c r="I149" s="10"/>
      <c r="J149" s="10"/>
      <c r="K149" s="11" t="str">
        <f>IFERROR(VLOOKUP($J149,Спр_Дефекты!$A$4:$F$7,2,0),"")</f>
        <v/>
      </c>
      <c r="L149" s="11" t="str">
        <f>IFERROR(VLOOKUP($J149,Спр_Дефекты!$A$4:$F$7,3,0),"")</f>
        <v/>
      </c>
      <c r="M149" s="11" t="str">
        <f>IFERROR(VLOOKUP($J149,Спр_Дефекты!$A$4:$F$7,4,0),"")</f>
        <v/>
      </c>
      <c r="N149" s="11" t="str">
        <f>IFERROR(VLOOKUP($J149,Спр_Дефекты!$A$4:$F$7,5,0),"")</f>
        <v/>
      </c>
      <c r="O149" s="11" t="str">
        <f>IFERROR(VLOOKUP($J149,Спр_Дефекты!$A$4:$F$7,6,0),"")</f>
        <v/>
      </c>
      <c r="P149" s="10"/>
      <c r="Q149" s="10"/>
      <c r="R149" s="10"/>
      <c r="S149" s="10"/>
      <c r="T149" s="10"/>
      <c r="U149" s="10"/>
      <c r="V149" s="11" t="str">
        <f>IFERROR(VLOOKUP($E149,Спр_Опоры!$B$4:$J$70,9,0),"")</f>
        <v/>
      </c>
      <c r="W149" s="10"/>
    </row>
    <row r="150">
      <c r="A150" s="10"/>
      <c r="B150" s="10"/>
      <c r="C150" s="10"/>
      <c r="D150" s="10"/>
      <c r="E150" s="10"/>
      <c r="F150" s="11" t="str">
        <f>IFERROR(VLOOKUP($E150,Спр_Опоры!$B$4:$J$70,2,0),"")</f>
        <v/>
      </c>
      <c r="G150" s="11" t="str">
        <f>IFERROR(VLOOKUP($E150,Спр_Опоры!$B$4:$J$70,3,0),"")</f>
        <v/>
      </c>
      <c r="H150" s="10"/>
      <c r="I150" s="10"/>
      <c r="J150" s="10"/>
      <c r="K150" s="11" t="str">
        <f>IFERROR(VLOOKUP($J150,Спр_Дефекты!$A$4:$F$7,2,0),"")</f>
        <v/>
      </c>
      <c r="L150" s="11" t="str">
        <f>IFERROR(VLOOKUP($J150,Спр_Дефекты!$A$4:$F$7,3,0),"")</f>
        <v/>
      </c>
      <c r="M150" s="11" t="str">
        <f>IFERROR(VLOOKUP($J150,Спр_Дефекты!$A$4:$F$7,4,0),"")</f>
        <v/>
      </c>
      <c r="N150" s="11" t="str">
        <f>IFERROR(VLOOKUP($J150,Спр_Дефекты!$A$4:$F$7,5,0),"")</f>
        <v/>
      </c>
      <c r="O150" s="11" t="str">
        <f>IFERROR(VLOOKUP($J150,Спр_Дефекты!$A$4:$F$7,6,0),"")</f>
        <v/>
      </c>
      <c r="P150" s="10"/>
      <c r="Q150" s="10"/>
      <c r="R150" s="10"/>
      <c r="S150" s="10"/>
      <c r="T150" s="10"/>
      <c r="U150" s="10"/>
      <c r="V150" s="11" t="str">
        <f>IFERROR(VLOOKUP($E150,Спр_Опоры!$B$4:$J$70,9,0),"")</f>
        <v/>
      </c>
      <c r="W150" s="10"/>
    </row>
    <row r="151">
      <c r="A151" s="10"/>
      <c r="B151" s="10"/>
      <c r="C151" s="10"/>
      <c r="D151" s="10"/>
      <c r="E151" s="10"/>
      <c r="F151" s="11" t="str">
        <f>IFERROR(VLOOKUP($E151,Спр_Опоры!$B$4:$J$70,2,0),"")</f>
        <v/>
      </c>
      <c r="G151" s="11" t="str">
        <f>IFERROR(VLOOKUP($E151,Спр_Опоры!$B$4:$J$70,3,0),"")</f>
        <v/>
      </c>
      <c r="H151" s="10"/>
      <c r="I151" s="10"/>
      <c r="J151" s="10"/>
      <c r="K151" s="11" t="str">
        <f>IFERROR(VLOOKUP($J151,Спр_Дефекты!$A$4:$F$7,2,0),"")</f>
        <v/>
      </c>
      <c r="L151" s="11" t="str">
        <f>IFERROR(VLOOKUP($J151,Спр_Дефекты!$A$4:$F$7,3,0),"")</f>
        <v/>
      </c>
      <c r="M151" s="11" t="str">
        <f>IFERROR(VLOOKUP($J151,Спр_Дефекты!$A$4:$F$7,4,0),"")</f>
        <v/>
      </c>
      <c r="N151" s="11" t="str">
        <f>IFERROR(VLOOKUP($J151,Спр_Дефекты!$A$4:$F$7,5,0),"")</f>
        <v/>
      </c>
      <c r="O151" s="11" t="str">
        <f>IFERROR(VLOOKUP($J151,Спр_Дефекты!$A$4:$F$7,6,0),"")</f>
        <v/>
      </c>
      <c r="P151" s="10"/>
      <c r="Q151" s="10"/>
      <c r="R151" s="10"/>
      <c r="S151" s="10"/>
      <c r="T151" s="10"/>
      <c r="U151" s="10"/>
      <c r="V151" s="11" t="str">
        <f>IFERROR(VLOOKUP($E151,Спр_Опоры!$B$4:$J$70,9,0),"")</f>
        <v/>
      </c>
      <c r="W151" s="10"/>
    </row>
    <row r="152">
      <c r="A152" s="10"/>
      <c r="B152" s="10"/>
      <c r="C152" s="10"/>
      <c r="D152" s="10"/>
      <c r="E152" s="10"/>
      <c r="F152" s="11" t="str">
        <f>IFERROR(VLOOKUP($E152,Спр_Опоры!$B$4:$J$70,2,0),"")</f>
        <v/>
      </c>
      <c r="G152" s="11" t="str">
        <f>IFERROR(VLOOKUP($E152,Спр_Опоры!$B$4:$J$70,3,0),"")</f>
        <v/>
      </c>
      <c r="H152" s="10"/>
      <c r="I152" s="10"/>
      <c r="J152" s="10"/>
      <c r="K152" s="11" t="str">
        <f>IFERROR(VLOOKUP($J152,Спр_Дефекты!$A$4:$F$7,2,0),"")</f>
        <v/>
      </c>
      <c r="L152" s="11" t="str">
        <f>IFERROR(VLOOKUP($J152,Спр_Дефекты!$A$4:$F$7,3,0),"")</f>
        <v/>
      </c>
      <c r="M152" s="11" t="str">
        <f>IFERROR(VLOOKUP($J152,Спр_Дефекты!$A$4:$F$7,4,0),"")</f>
        <v/>
      </c>
      <c r="N152" s="11" t="str">
        <f>IFERROR(VLOOKUP($J152,Спр_Дефекты!$A$4:$F$7,5,0),"")</f>
        <v/>
      </c>
      <c r="O152" s="11" t="str">
        <f>IFERROR(VLOOKUP($J152,Спр_Дефекты!$A$4:$F$7,6,0),"")</f>
        <v/>
      </c>
      <c r="P152" s="10"/>
      <c r="Q152" s="10"/>
      <c r="R152" s="10"/>
      <c r="S152" s="10"/>
      <c r="T152" s="10"/>
      <c r="U152" s="10"/>
      <c r="V152" s="11" t="str">
        <f>IFERROR(VLOOKUP($E152,Спр_Опоры!$B$4:$J$70,9,0),"")</f>
        <v/>
      </c>
      <c r="W152" s="10"/>
    </row>
    <row r="153">
      <c r="A153" s="10"/>
      <c r="B153" s="10"/>
      <c r="C153" s="10"/>
      <c r="D153" s="10"/>
      <c r="E153" s="10"/>
      <c r="F153" s="11" t="str">
        <f>IFERROR(VLOOKUP($E153,Спр_Опоры!$B$4:$J$70,2,0),"")</f>
        <v/>
      </c>
      <c r="G153" s="11" t="str">
        <f>IFERROR(VLOOKUP($E153,Спр_Опоры!$B$4:$J$70,3,0),"")</f>
        <v/>
      </c>
      <c r="H153" s="10"/>
      <c r="I153" s="10"/>
      <c r="J153" s="10"/>
      <c r="K153" s="11" t="str">
        <f>IFERROR(VLOOKUP($J153,Спр_Дефекты!$A$4:$F$7,2,0),"")</f>
        <v/>
      </c>
      <c r="L153" s="11" t="str">
        <f>IFERROR(VLOOKUP($J153,Спр_Дефекты!$A$4:$F$7,3,0),"")</f>
        <v/>
      </c>
      <c r="M153" s="11" t="str">
        <f>IFERROR(VLOOKUP($J153,Спр_Дефекты!$A$4:$F$7,4,0),"")</f>
        <v/>
      </c>
      <c r="N153" s="11" t="str">
        <f>IFERROR(VLOOKUP($J153,Спр_Дефекты!$A$4:$F$7,5,0),"")</f>
        <v/>
      </c>
      <c r="O153" s="11" t="str">
        <f>IFERROR(VLOOKUP($J153,Спр_Дефекты!$A$4:$F$7,6,0),"")</f>
        <v/>
      </c>
      <c r="P153" s="10"/>
      <c r="Q153" s="10"/>
      <c r="R153" s="10"/>
      <c r="S153" s="10"/>
      <c r="T153" s="10"/>
      <c r="U153" s="10"/>
      <c r="V153" s="11" t="str">
        <f>IFERROR(VLOOKUP($E153,Спр_Опоры!$B$4:$J$70,9,0),"")</f>
        <v/>
      </c>
      <c r="W153" s="10"/>
    </row>
    <row r="154">
      <c r="A154" s="10"/>
      <c r="B154" s="10"/>
      <c r="C154" s="10"/>
      <c r="D154" s="10"/>
      <c r="E154" s="10"/>
      <c r="F154" s="11" t="str">
        <f>IFERROR(VLOOKUP($E154,Спр_Опоры!$B$4:$J$70,2,0),"")</f>
        <v/>
      </c>
      <c r="G154" s="11" t="str">
        <f>IFERROR(VLOOKUP($E154,Спр_Опоры!$B$4:$J$70,3,0),"")</f>
        <v/>
      </c>
      <c r="H154" s="10"/>
      <c r="I154" s="10"/>
      <c r="J154" s="10"/>
      <c r="K154" s="11" t="str">
        <f>IFERROR(VLOOKUP($J154,Спр_Дефекты!$A$4:$F$7,2,0),"")</f>
        <v/>
      </c>
      <c r="L154" s="11" t="str">
        <f>IFERROR(VLOOKUP($J154,Спр_Дефекты!$A$4:$F$7,3,0),"")</f>
        <v/>
      </c>
      <c r="M154" s="11" t="str">
        <f>IFERROR(VLOOKUP($J154,Спр_Дефекты!$A$4:$F$7,4,0),"")</f>
        <v/>
      </c>
      <c r="N154" s="11" t="str">
        <f>IFERROR(VLOOKUP($J154,Спр_Дефекты!$A$4:$F$7,5,0),"")</f>
        <v/>
      </c>
      <c r="O154" s="11" t="str">
        <f>IFERROR(VLOOKUP($J154,Спр_Дефекты!$A$4:$F$7,6,0),"")</f>
        <v/>
      </c>
      <c r="P154" s="10"/>
      <c r="Q154" s="10"/>
      <c r="R154" s="10"/>
      <c r="S154" s="10"/>
      <c r="T154" s="10"/>
      <c r="U154" s="10"/>
      <c r="V154" s="11" t="str">
        <f>IFERROR(VLOOKUP($E154,Спр_Опоры!$B$4:$J$70,9,0),"")</f>
        <v/>
      </c>
      <c r="W154" s="10"/>
    </row>
    <row r="155">
      <c r="A155" s="10"/>
      <c r="B155" s="10"/>
      <c r="C155" s="10"/>
      <c r="D155" s="10"/>
      <c r="E155" s="10"/>
      <c r="F155" s="11" t="str">
        <f>IFERROR(VLOOKUP($E155,Спр_Опоры!$B$4:$J$70,2,0),"")</f>
        <v/>
      </c>
      <c r="G155" s="11" t="str">
        <f>IFERROR(VLOOKUP($E155,Спр_Опоры!$B$4:$J$70,3,0),"")</f>
        <v/>
      </c>
      <c r="H155" s="10"/>
      <c r="I155" s="10"/>
      <c r="J155" s="10"/>
      <c r="K155" s="11" t="str">
        <f>IFERROR(VLOOKUP($J155,Спр_Дефекты!$A$4:$F$7,2,0),"")</f>
        <v/>
      </c>
      <c r="L155" s="11" t="str">
        <f>IFERROR(VLOOKUP($J155,Спр_Дефекты!$A$4:$F$7,3,0),"")</f>
        <v/>
      </c>
      <c r="M155" s="11" t="str">
        <f>IFERROR(VLOOKUP($J155,Спр_Дефекты!$A$4:$F$7,4,0),"")</f>
        <v/>
      </c>
      <c r="N155" s="11" t="str">
        <f>IFERROR(VLOOKUP($J155,Спр_Дефекты!$A$4:$F$7,5,0),"")</f>
        <v/>
      </c>
      <c r="O155" s="11" t="str">
        <f>IFERROR(VLOOKUP($J155,Спр_Дефекты!$A$4:$F$7,6,0),"")</f>
        <v/>
      </c>
      <c r="P155" s="10"/>
      <c r="Q155" s="10"/>
      <c r="R155" s="10"/>
      <c r="S155" s="10"/>
      <c r="T155" s="10"/>
      <c r="U155" s="10"/>
      <c r="V155" s="11" t="str">
        <f>IFERROR(VLOOKUP($E155,Спр_Опоры!$B$4:$J$70,9,0),"")</f>
        <v/>
      </c>
      <c r="W155" s="10"/>
    </row>
    <row r="156">
      <c r="A156" s="10"/>
      <c r="B156" s="10"/>
      <c r="C156" s="10"/>
      <c r="D156" s="10"/>
      <c r="E156" s="10"/>
      <c r="F156" s="11" t="str">
        <f>IFERROR(VLOOKUP($E156,Спр_Опоры!$B$4:$J$70,2,0),"")</f>
        <v/>
      </c>
      <c r="G156" s="11" t="str">
        <f>IFERROR(VLOOKUP($E156,Спр_Опоры!$B$4:$J$70,3,0),"")</f>
        <v/>
      </c>
      <c r="H156" s="10"/>
      <c r="I156" s="10"/>
      <c r="J156" s="10"/>
      <c r="K156" s="11" t="str">
        <f>IFERROR(VLOOKUP($J156,Спр_Дефекты!$A$4:$F$7,2,0),"")</f>
        <v/>
      </c>
      <c r="L156" s="11" t="str">
        <f>IFERROR(VLOOKUP($J156,Спр_Дефекты!$A$4:$F$7,3,0),"")</f>
        <v/>
      </c>
      <c r="M156" s="11" t="str">
        <f>IFERROR(VLOOKUP($J156,Спр_Дефекты!$A$4:$F$7,4,0),"")</f>
        <v/>
      </c>
      <c r="N156" s="11" t="str">
        <f>IFERROR(VLOOKUP($J156,Спр_Дефекты!$A$4:$F$7,5,0),"")</f>
        <v/>
      </c>
      <c r="O156" s="11" t="str">
        <f>IFERROR(VLOOKUP($J156,Спр_Дефекты!$A$4:$F$7,6,0),"")</f>
        <v/>
      </c>
      <c r="P156" s="10"/>
      <c r="Q156" s="10"/>
      <c r="R156" s="10"/>
      <c r="S156" s="10"/>
      <c r="T156" s="10"/>
      <c r="U156" s="10"/>
      <c r="V156" s="11" t="str">
        <f>IFERROR(VLOOKUP($E156,Спр_Опоры!$B$4:$J$70,9,0),"")</f>
        <v/>
      </c>
      <c r="W156" s="10"/>
    </row>
    <row r="157">
      <c r="A157" s="10"/>
      <c r="B157" s="10"/>
      <c r="C157" s="10"/>
      <c r="D157" s="10"/>
      <c r="E157" s="10"/>
      <c r="F157" s="11" t="str">
        <f>IFERROR(VLOOKUP($E157,Спр_Опоры!$B$4:$J$70,2,0),"")</f>
        <v/>
      </c>
      <c r="G157" s="11" t="str">
        <f>IFERROR(VLOOKUP($E157,Спр_Опоры!$B$4:$J$70,3,0),"")</f>
        <v/>
      </c>
      <c r="H157" s="10"/>
      <c r="I157" s="10"/>
      <c r="J157" s="10"/>
      <c r="K157" s="11" t="str">
        <f>IFERROR(VLOOKUP($J157,Спр_Дефекты!$A$4:$F$7,2,0),"")</f>
        <v/>
      </c>
      <c r="L157" s="11" t="str">
        <f>IFERROR(VLOOKUP($J157,Спр_Дефекты!$A$4:$F$7,3,0),"")</f>
        <v/>
      </c>
      <c r="M157" s="11" t="str">
        <f>IFERROR(VLOOKUP($J157,Спр_Дефекты!$A$4:$F$7,4,0),"")</f>
        <v/>
      </c>
      <c r="N157" s="11" t="str">
        <f>IFERROR(VLOOKUP($J157,Спр_Дефекты!$A$4:$F$7,5,0),"")</f>
        <v/>
      </c>
      <c r="O157" s="11" t="str">
        <f>IFERROR(VLOOKUP($J157,Спр_Дефекты!$A$4:$F$7,6,0),"")</f>
        <v/>
      </c>
      <c r="P157" s="10"/>
      <c r="Q157" s="10"/>
      <c r="R157" s="10"/>
      <c r="S157" s="10"/>
      <c r="T157" s="10"/>
      <c r="U157" s="10"/>
      <c r="V157" s="11" t="str">
        <f>IFERROR(VLOOKUP($E157,Спр_Опоры!$B$4:$J$70,9,0),"")</f>
        <v/>
      </c>
      <c r="W157" s="10"/>
    </row>
    <row r="158">
      <c r="A158" s="10"/>
      <c r="B158" s="10"/>
      <c r="C158" s="10"/>
      <c r="D158" s="10"/>
      <c r="E158" s="10"/>
      <c r="F158" s="11" t="str">
        <f>IFERROR(VLOOKUP($E158,Спр_Опоры!$B$4:$J$70,2,0),"")</f>
        <v/>
      </c>
      <c r="G158" s="11" t="str">
        <f>IFERROR(VLOOKUP($E158,Спр_Опоры!$B$4:$J$70,3,0),"")</f>
        <v/>
      </c>
      <c r="H158" s="10"/>
      <c r="I158" s="10"/>
      <c r="J158" s="10"/>
      <c r="K158" s="11" t="str">
        <f>IFERROR(VLOOKUP($J158,Спр_Дефекты!$A$4:$F$7,2,0),"")</f>
        <v/>
      </c>
      <c r="L158" s="11" t="str">
        <f>IFERROR(VLOOKUP($J158,Спр_Дефекты!$A$4:$F$7,3,0),"")</f>
        <v/>
      </c>
      <c r="M158" s="11" t="str">
        <f>IFERROR(VLOOKUP($J158,Спр_Дефекты!$A$4:$F$7,4,0),"")</f>
        <v/>
      </c>
      <c r="N158" s="11" t="str">
        <f>IFERROR(VLOOKUP($J158,Спр_Дефекты!$A$4:$F$7,5,0),"")</f>
        <v/>
      </c>
      <c r="O158" s="11" t="str">
        <f>IFERROR(VLOOKUP($J158,Спр_Дефекты!$A$4:$F$7,6,0),"")</f>
        <v/>
      </c>
      <c r="P158" s="10"/>
      <c r="Q158" s="10"/>
      <c r="R158" s="10"/>
      <c r="S158" s="10"/>
      <c r="T158" s="10"/>
      <c r="U158" s="10"/>
      <c r="V158" s="11" t="str">
        <f>IFERROR(VLOOKUP($E158,Спр_Опоры!$B$4:$J$70,9,0),"")</f>
        <v/>
      </c>
      <c r="W158" s="10"/>
    </row>
    <row r="159">
      <c r="A159" s="10"/>
      <c r="B159" s="10"/>
      <c r="C159" s="10"/>
      <c r="D159" s="10"/>
      <c r="E159" s="10"/>
      <c r="F159" s="11" t="str">
        <f>IFERROR(VLOOKUP($E159,Спр_Опоры!$B$4:$J$70,2,0),"")</f>
        <v/>
      </c>
      <c r="G159" s="11" t="str">
        <f>IFERROR(VLOOKUP($E159,Спр_Опоры!$B$4:$J$70,3,0),"")</f>
        <v/>
      </c>
      <c r="H159" s="10"/>
      <c r="I159" s="10"/>
      <c r="J159" s="10"/>
      <c r="K159" s="11" t="str">
        <f>IFERROR(VLOOKUP($J159,Спр_Дефекты!$A$4:$F$7,2,0),"")</f>
        <v/>
      </c>
      <c r="L159" s="11" t="str">
        <f>IFERROR(VLOOKUP($J159,Спр_Дефекты!$A$4:$F$7,3,0),"")</f>
        <v/>
      </c>
      <c r="M159" s="11" t="str">
        <f>IFERROR(VLOOKUP($J159,Спр_Дефекты!$A$4:$F$7,4,0),"")</f>
        <v/>
      </c>
      <c r="N159" s="11" t="str">
        <f>IFERROR(VLOOKUP($J159,Спр_Дефекты!$A$4:$F$7,5,0),"")</f>
        <v/>
      </c>
      <c r="O159" s="11" t="str">
        <f>IFERROR(VLOOKUP($J159,Спр_Дефекты!$A$4:$F$7,6,0),"")</f>
        <v/>
      </c>
      <c r="P159" s="10"/>
      <c r="Q159" s="10"/>
      <c r="R159" s="10"/>
      <c r="S159" s="10"/>
      <c r="T159" s="10"/>
      <c r="U159" s="10"/>
      <c r="V159" s="11" t="str">
        <f>IFERROR(VLOOKUP($E159,Спр_Опоры!$B$4:$J$70,9,0),"")</f>
        <v/>
      </c>
      <c r="W159" s="10"/>
    </row>
    <row r="160">
      <c r="A160" s="10"/>
      <c r="B160" s="10"/>
      <c r="C160" s="10"/>
      <c r="D160" s="10"/>
      <c r="E160" s="10"/>
      <c r="F160" s="11" t="str">
        <f>IFERROR(VLOOKUP($E160,Спр_Опоры!$B$4:$J$70,2,0),"")</f>
        <v/>
      </c>
      <c r="G160" s="11" t="str">
        <f>IFERROR(VLOOKUP($E160,Спр_Опоры!$B$4:$J$70,3,0),"")</f>
        <v/>
      </c>
      <c r="H160" s="10"/>
      <c r="I160" s="10"/>
      <c r="J160" s="10"/>
      <c r="K160" s="11" t="str">
        <f>IFERROR(VLOOKUP($J160,Спр_Дефекты!$A$4:$F$7,2,0),"")</f>
        <v/>
      </c>
      <c r="L160" s="11" t="str">
        <f>IFERROR(VLOOKUP($J160,Спр_Дефекты!$A$4:$F$7,3,0),"")</f>
        <v/>
      </c>
      <c r="M160" s="11" t="str">
        <f>IFERROR(VLOOKUP($J160,Спр_Дефекты!$A$4:$F$7,4,0),"")</f>
        <v/>
      </c>
      <c r="N160" s="11" t="str">
        <f>IFERROR(VLOOKUP($J160,Спр_Дефекты!$A$4:$F$7,5,0),"")</f>
        <v/>
      </c>
      <c r="O160" s="11" t="str">
        <f>IFERROR(VLOOKUP($J160,Спр_Дефекты!$A$4:$F$7,6,0),"")</f>
        <v/>
      </c>
      <c r="P160" s="10"/>
      <c r="Q160" s="10"/>
      <c r="R160" s="10"/>
      <c r="S160" s="10"/>
      <c r="T160" s="10"/>
      <c r="U160" s="10"/>
      <c r="V160" s="11" t="str">
        <f>IFERROR(VLOOKUP($E160,Спр_Опоры!$B$4:$J$70,9,0),"")</f>
        <v/>
      </c>
      <c r="W160" s="10"/>
    </row>
    <row r="161">
      <c r="A161" s="10"/>
      <c r="B161" s="10"/>
      <c r="C161" s="10"/>
      <c r="D161" s="10"/>
      <c r="E161" s="10"/>
      <c r="F161" s="11" t="str">
        <f>IFERROR(VLOOKUP($E161,Спр_Опоры!$B$4:$J$70,2,0),"")</f>
        <v/>
      </c>
      <c r="G161" s="11" t="str">
        <f>IFERROR(VLOOKUP($E161,Спр_Опоры!$B$4:$J$70,3,0),"")</f>
        <v/>
      </c>
      <c r="H161" s="10"/>
      <c r="I161" s="10"/>
      <c r="J161" s="10"/>
      <c r="K161" s="11" t="str">
        <f>IFERROR(VLOOKUP($J161,Спр_Дефекты!$A$4:$F$7,2,0),"")</f>
        <v/>
      </c>
      <c r="L161" s="11" t="str">
        <f>IFERROR(VLOOKUP($J161,Спр_Дефекты!$A$4:$F$7,3,0),"")</f>
        <v/>
      </c>
      <c r="M161" s="11" t="str">
        <f>IFERROR(VLOOKUP($J161,Спр_Дефекты!$A$4:$F$7,4,0),"")</f>
        <v/>
      </c>
      <c r="N161" s="11" t="str">
        <f>IFERROR(VLOOKUP($J161,Спр_Дефекты!$A$4:$F$7,5,0),"")</f>
        <v/>
      </c>
      <c r="O161" s="11" t="str">
        <f>IFERROR(VLOOKUP($J161,Спр_Дефекты!$A$4:$F$7,6,0),"")</f>
        <v/>
      </c>
      <c r="P161" s="10"/>
      <c r="Q161" s="10"/>
      <c r="R161" s="10"/>
      <c r="S161" s="10"/>
      <c r="T161" s="10"/>
      <c r="U161" s="10"/>
      <c r="V161" s="11" t="str">
        <f>IFERROR(VLOOKUP($E161,Спр_Опоры!$B$4:$J$70,9,0),"")</f>
        <v/>
      </c>
      <c r="W161" s="10"/>
    </row>
    <row r="162">
      <c r="A162" s="10"/>
      <c r="B162" s="10"/>
      <c r="C162" s="10"/>
      <c r="D162" s="10"/>
      <c r="E162" s="10"/>
      <c r="F162" s="11" t="str">
        <f>IFERROR(VLOOKUP($E162,Спр_Опоры!$B$4:$J$70,2,0),"")</f>
        <v/>
      </c>
      <c r="G162" s="11" t="str">
        <f>IFERROR(VLOOKUP($E162,Спр_Опоры!$B$4:$J$70,3,0),"")</f>
        <v/>
      </c>
      <c r="H162" s="10"/>
      <c r="I162" s="10"/>
      <c r="J162" s="10"/>
      <c r="K162" s="11" t="str">
        <f>IFERROR(VLOOKUP($J162,Спр_Дефекты!$A$4:$F$7,2,0),"")</f>
        <v/>
      </c>
      <c r="L162" s="11" t="str">
        <f>IFERROR(VLOOKUP($J162,Спр_Дефекты!$A$4:$F$7,3,0),"")</f>
        <v/>
      </c>
      <c r="M162" s="11" t="str">
        <f>IFERROR(VLOOKUP($J162,Спр_Дефекты!$A$4:$F$7,4,0),"")</f>
        <v/>
      </c>
      <c r="N162" s="11" t="str">
        <f>IFERROR(VLOOKUP($J162,Спр_Дефекты!$A$4:$F$7,5,0),"")</f>
        <v/>
      </c>
      <c r="O162" s="11" t="str">
        <f>IFERROR(VLOOKUP($J162,Спр_Дефекты!$A$4:$F$7,6,0),"")</f>
        <v/>
      </c>
      <c r="P162" s="10"/>
      <c r="Q162" s="10"/>
      <c r="R162" s="10"/>
      <c r="S162" s="10"/>
      <c r="T162" s="10"/>
      <c r="U162" s="10"/>
      <c r="V162" s="11" t="str">
        <f>IFERROR(VLOOKUP($E162,Спр_Опоры!$B$4:$J$70,9,0),"")</f>
        <v/>
      </c>
      <c r="W162" s="10"/>
    </row>
    <row r="163">
      <c r="A163" s="10"/>
      <c r="B163" s="10"/>
      <c r="C163" s="10"/>
      <c r="D163" s="10"/>
      <c r="E163" s="10"/>
      <c r="F163" s="11" t="str">
        <f>IFERROR(VLOOKUP($E163,Спр_Опоры!$B$4:$J$70,2,0),"")</f>
        <v/>
      </c>
      <c r="G163" s="11" t="str">
        <f>IFERROR(VLOOKUP($E163,Спр_Опоры!$B$4:$J$70,3,0),"")</f>
        <v/>
      </c>
      <c r="H163" s="10"/>
      <c r="I163" s="10"/>
      <c r="J163" s="10"/>
      <c r="K163" s="11" t="str">
        <f>IFERROR(VLOOKUP($J163,Спр_Дефекты!$A$4:$F$7,2,0),"")</f>
        <v/>
      </c>
      <c r="L163" s="11" t="str">
        <f>IFERROR(VLOOKUP($J163,Спр_Дефекты!$A$4:$F$7,3,0),"")</f>
        <v/>
      </c>
      <c r="M163" s="11" t="str">
        <f>IFERROR(VLOOKUP($J163,Спр_Дефекты!$A$4:$F$7,4,0),"")</f>
        <v/>
      </c>
      <c r="N163" s="11" t="str">
        <f>IFERROR(VLOOKUP($J163,Спр_Дефекты!$A$4:$F$7,5,0),"")</f>
        <v/>
      </c>
      <c r="O163" s="11" t="str">
        <f>IFERROR(VLOOKUP($J163,Спр_Дефекты!$A$4:$F$7,6,0),"")</f>
        <v/>
      </c>
      <c r="P163" s="10"/>
      <c r="Q163" s="10"/>
      <c r="R163" s="10"/>
      <c r="S163" s="10"/>
      <c r="T163" s="10"/>
      <c r="U163" s="10"/>
      <c r="V163" s="11" t="str">
        <f>IFERROR(VLOOKUP($E163,Спр_Опоры!$B$4:$J$70,9,0),"")</f>
        <v/>
      </c>
      <c r="W163" s="10"/>
    </row>
    <row r="164">
      <c r="A164" s="10"/>
      <c r="B164" s="10"/>
      <c r="C164" s="10"/>
      <c r="D164" s="10"/>
      <c r="E164" s="10"/>
      <c r="F164" s="11" t="str">
        <f>IFERROR(VLOOKUP($E164,Спр_Опоры!$B$4:$J$70,2,0),"")</f>
        <v/>
      </c>
      <c r="G164" s="11" t="str">
        <f>IFERROR(VLOOKUP($E164,Спр_Опоры!$B$4:$J$70,3,0),"")</f>
        <v/>
      </c>
      <c r="H164" s="10"/>
      <c r="I164" s="10"/>
      <c r="J164" s="10"/>
      <c r="K164" s="11" t="str">
        <f>IFERROR(VLOOKUP($J164,Спр_Дефекты!$A$4:$F$7,2,0),"")</f>
        <v/>
      </c>
      <c r="L164" s="11" t="str">
        <f>IFERROR(VLOOKUP($J164,Спр_Дефекты!$A$4:$F$7,3,0),"")</f>
        <v/>
      </c>
      <c r="M164" s="11" t="str">
        <f>IFERROR(VLOOKUP($J164,Спр_Дефекты!$A$4:$F$7,4,0),"")</f>
        <v/>
      </c>
      <c r="N164" s="11" t="str">
        <f>IFERROR(VLOOKUP($J164,Спр_Дефекты!$A$4:$F$7,5,0),"")</f>
        <v/>
      </c>
      <c r="O164" s="11" t="str">
        <f>IFERROR(VLOOKUP($J164,Спр_Дефекты!$A$4:$F$7,6,0),"")</f>
        <v/>
      </c>
      <c r="P164" s="10"/>
      <c r="Q164" s="10"/>
      <c r="R164" s="10"/>
      <c r="S164" s="10"/>
      <c r="T164" s="10"/>
      <c r="U164" s="10"/>
      <c r="V164" s="11" t="str">
        <f>IFERROR(VLOOKUP($E164,Спр_Опоры!$B$4:$J$70,9,0),"")</f>
        <v/>
      </c>
      <c r="W164" s="10"/>
    </row>
    <row r="165">
      <c r="A165" s="10"/>
      <c r="B165" s="10"/>
      <c r="C165" s="10"/>
      <c r="D165" s="10"/>
      <c r="E165" s="10"/>
      <c r="F165" s="11" t="str">
        <f>IFERROR(VLOOKUP($E165,Спр_Опоры!$B$4:$J$70,2,0),"")</f>
        <v/>
      </c>
      <c r="G165" s="11" t="str">
        <f>IFERROR(VLOOKUP($E165,Спр_Опоры!$B$4:$J$70,3,0),"")</f>
        <v/>
      </c>
      <c r="H165" s="10"/>
      <c r="I165" s="10"/>
      <c r="J165" s="10"/>
      <c r="K165" s="11" t="str">
        <f>IFERROR(VLOOKUP($J165,Спр_Дефекты!$A$4:$F$7,2,0),"")</f>
        <v/>
      </c>
      <c r="L165" s="11" t="str">
        <f>IFERROR(VLOOKUP($J165,Спр_Дефекты!$A$4:$F$7,3,0),"")</f>
        <v/>
      </c>
      <c r="M165" s="11" t="str">
        <f>IFERROR(VLOOKUP($J165,Спр_Дефекты!$A$4:$F$7,4,0),"")</f>
        <v/>
      </c>
      <c r="N165" s="11" t="str">
        <f>IFERROR(VLOOKUP($J165,Спр_Дефекты!$A$4:$F$7,5,0),"")</f>
        <v/>
      </c>
      <c r="O165" s="11" t="str">
        <f>IFERROR(VLOOKUP($J165,Спр_Дефекты!$A$4:$F$7,6,0),"")</f>
        <v/>
      </c>
      <c r="P165" s="10"/>
      <c r="Q165" s="10"/>
      <c r="R165" s="10"/>
      <c r="S165" s="10"/>
      <c r="T165" s="10"/>
      <c r="U165" s="10"/>
      <c r="V165" s="11" t="str">
        <f>IFERROR(VLOOKUP($E165,Спр_Опоры!$B$4:$J$70,9,0),"")</f>
        <v/>
      </c>
      <c r="W165" s="10"/>
    </row>
    <row r="166">
      <c r="A166" s="10"/>
      <c r="B166" s="10"/>
      <c r="C166" s="10"/>
      <c r="D166" s="10"/>
      <c r="E166" s="10"/>
      <c r="F166" s="11" t="str">
        <f>IFERROR(VLOOKUP($E166,Спр_Опоры!$B$4:$J$70,2,0),"")</f>
        <v/>
      </c>
      <c r="G166" s="11" t="str">
        <f>IFERROR(VLOOKUP($E166,Спр_Опоры!$B$4:$J$70,3,0),"")</f>
        <v/>
      </c>
      <c r="H166" s="10"/>
      <c r="I166" s="10"/>
      <c r="J166" s="10"/>
      <c r="K166" s="11" t="str">
        <f>IFERROR(VLOOKUP($J166,Спр_Дефекты!$A$4:$F$7,2,0),"")</f>
        <v/>
      </c>
      <c r="L166" s="11" t="str">
        <f>IFERROR(VLOOKUP($J166,Спр_Дефекты!$A$4:$F$7,3,0),"")</f>
        <v/>
      </c>
      <c r="M166" s="11" t="str">
        <f>IFERROR(VLOOKUP($J166,Спр_Дефекты!$A$4:$F$7,4,0),"")</f>
        <v/>
      </c>
      <c r="N166" s="11" t="str">
        <f>IFERROR(VLOOKUP($J166,Спр_Дефекты!$A$4:$F$7,5,0),"")</f>
        <v/>
      </c>
      <c r="O166" s="11" t="str">
        <f>IFERROR(VLOOKUP($J166,Спр_Дефекты!$A$4:$F$7,6,0),"")</f>
        <v/>
      </c>
      <c r="P166" s="10"/>
      <c r="Q166" s="10"/>
      <c r="R166" s="10"/>
      <c r="S166" s="10"/>
      <c r="T166" s="10"/>
      <c r="U166" s="10"/>
      <c r="V166" s="11" t="str">
        <f>IFERROR(VLOOKUP($E166,Спр_Опоры!$B$4:$J$70,9,0),"")</f>
        <v/>
      </c>
      <c r="W166" s="10"/>
    </row>
    <row r="167">
      <c r="A167" s="10"/>
      <c r="B167" s="10"/>
      <c r="C167" s="10"/>
      <c r="D167" s="10"/>
      <c r="E167" s="10"/>
      <c r="F167" s="11" t="str">
        <f>IFERROR(VLOOKUP($E167,Спр_Опоры!$B$4:$J$70,2,0),"")</f>
        <v/>
      </c>
      <c r="G167" s="11" t="str">
        <f>IFERROR(VLOOKUP($E167,Спр_Опоры!$B$4:$J$70,3,0),"")</f>
        <v/>
      </c>
      <c r="H167" s="10"/>
      <c r="I167" s="10"/>
      <c r="J167" s="10"/>
      <c r="K167" s="11" t="str">
        <f>IFERROR(VLOOKUP($J167,Спр_Дефекты!$A$4:$F$7,2,0),"")</f>
        <v/>
      </c>
      <c r="L167" s="11" t="str">
        <f>IFERROR(VLOOKUP($J167,Спр_Дефекты!$A$4:$F$7,3,0),"")</f>
        <v/>
      </c>
      <c r="M167" s="11" t="str">
        <f>IFERROR(VLOOKUP($J167,Спр_Дефекты!$A$4:$F$7,4,0),"")</f>
        <v/>
      </c>
      <c r="N167" s="11" t="str">
        <f>IFERROR(VLOOKUP($J167,Спр_Дефекты!$A$4:$F$7,5,0),"")</f>
        <v/>
      </c>
      <c r="O167" s="11" t="str">
        <f>IFERROR(VLOOKUP($J167,Спр_Дефекты!$A$4:$F$7,6,0),"")</f>
        <v/>
      </c>
      <c r="P167" s="10"/>
      <c r="Q167" s="10"/>
      <c r="R167" s="10"/>
      <c r="S167" s="10"/>
      <c r="T167" s="10"/>
      <c r="U167" s="10"/>
      <c r="V167" s="11" t="str">
        <f>IFERROR(VLOOKUP($E167,Спр_Опоры!$B$4:$J$70,9,0),"")</f>
        <v/>
      </c>
      <c r="W167" s="10"/>
    </row>
    <row r="168">
      <c r="A168" s="10"/>
      <c r="B168" s="10"/>
      <c r="C168" s="10"/>
      <c r="D168" s="10"/>
      <c r="E168" s="10"/>
      <c r="F168" s="11" t="str">
        <f>IFERROR(VLOOKUP($E168,Спр_Опоры!$B$4:$J$70,2,0),"")</f>
        <v/>
      </c>
      <c r="G168" s="11" t="str">
        <f>IFERROR(VLOOKUP($E168,Спр_Опоры!$B$4:$J$70,3,0),"")</f>
        <v/>
      </c>
      <c r="H168" s="10"/>
      <c r="I168" s="10"/>
      <c r="J168" s="10"/>
      <c r="K168" s="11" t="str">
        <f>IFERROR(VLOOKUP($J168,Спр_Дефекты!$A$4:$F$7,2,0),"")</f>
        <v/>
      </c>
      <c r="L168" s="11" t="str">
        <f>IFERROR(VLOOKUP($J168,Спр_Дефекты!$A$4:$F$7,3,0),"")</f>
        <v/>
      </c>
      <c r="M168" s="11" t="str">
        <f>IFERROR(VLOOKUP($J168,Спр_Дефекты!$A$4:$F$7,4,0),"")</f>
        <v/>
      </c>
      <c r="N168" s="11" t="str">
        <f>IFERROR(VLOOKUP($J168,Спр_Дефекты!$A$4:$F$7,5,0),"")</f>
        <v/>
      </c>
      <c r="O168" s="11" t="str">
        <f>IFERROR(VLOOKUP($J168,Спр_Дефекты!$A$4:$F$7,6,0),"")</f>
        <v/>
      </c>
      <c r="P168" s="10"/>
      <c r="Q168" s="10"/>
      <c r="R168" s="10"/>
      <c r="S168" s="10"/>
      <c r="T168" s="10"/>
      <c r="U168" s="10"/>
      <c r="V168" s="11" t="str">
        <f>IFERROR(VLOOKUP($E168,Спр_Опоры!$B$4:$J$70,9,0),"")</f>
        <v/>
      </c>
      <c r="W168" s="10"/>
    </row>
    <row r="169">
      <c r="A169" s="10"/>
      <c r="B169" s="10"/>
      <c r="C169" s="10"/>
      <c r="D169" s="10"/>
      <c r="E169" s="10"/>
      <c r="F169" s="11" t="str">
        <f>IFERROR(VLOOKUP($E169,Спр_Опоры!$B$4:$J$70,2,0),"")</f>
        <v/>
      </c>
      <c r="G169" s="11" t="str">
        <f>IFERROR(VLOOKUP($E169,Спр_Опоры!$B$4:$J$70,3,0),"")</f>
        <v/>
      </c>
      <c r="H169" s="10"/>
      <c r="I169" s="10"/>
      <c r="J169" s="10"/>
      <c r="K169" s="11" t="str">
        <f>IFERROR(VLOOKUP($J169,Спр_Дефекты!$A$4:$F$7,2,0),"")</f>
        <v/>
      </c>
      <c r="L169" s="11" t="str">
        <f>IFERROR(VLOOKUP($J169,Спр_Дефекты!$A$4:$F$7,3,0),"")</f>
        <v/>
      </c>
      <c r="M169" s="11" t="str">
        <f>IFERROR(VLOOKUP($J169,Спр_Дефекты!$A$4:$F$7,4,0),"")</f>
        <v/>
      </c>
      <c r="N169" s="11" t="str">
        <f>IFERROR(VLOOKUP($J169,Спр_Дефекты!$A$4:$F$7,5,0),"")</f>
        <v/>
      </c>
      <c r="O169" s="11" t="str">
        <f>IFERROR(VLOOKUP($J169,Спр_Дефекты!$A$4:$F$7,6,0),"")</f>
        <v/>
      </c>
      <c r="P169" s="10"/>
      <c r="Q169" s="10"/>
      <c r="R169" s="10"/>
      <c r="S169" s="10"/>
      <c r="T169" s="10"/>
      <c r="U169" s="10"/>
      <c r="V169" s="11" t="str">
        <f>IFERROR(VLOOKUP($E169,Спр_Опоры!$B$4:$J$70,9,0),"")</f>
        <v/>
      </c>
      <c r="W169" s="10"/>
    </row>
    <row r="170">
      <c r="A170" s="10"/>
      <c r="B170" s="10"/>
      <c r="C170" s="10"/>
      <c r="D170" s="10"/>
      <c r="E170" s="10"/>
      <c r="F170" s="11" t="str">
        <f>IFERROR(VLOOKUP($E170,Спр_Опоры!$B$4:$J$70,2,0),"")</f>
        <v/>
      </c>
      <c r="G170" s="11" t="str">
        <f>IFERROR(VLOOKUP($E170,Спр_Опоры!$B$4:$J$70,3,0),"")</f>
        <v/>
      </c>
      <c r="H170" s="10"/>
      <c r="I170" s="10"/>
      <c r="J170" s="10"/>
      <c r="K170" s="11" t="str">
        <f>IFERROR(VLOOKUP($J170,Спр_Дефекты!$A$4:$F$7,2,0),"")</f>
        <v/>
      </c>
      <c r="L170" s="11" t="str">
        <f>IFERROR(VLOOKUP($J170,Спр_Дефекты!$A$4:$F$7,3,0),"")</f>
        <v/>
      </c>
      <c r="M170" s="11" t="str">
        <f>IFERROR(VLOOKUP($J170,Спр_Дефекты!$A$4:$F$7,4,0),"")</f>
        <v/>
      </c>
      <c r="N170" s="11" t="str">
        <f>IFERROR(VLOOKUP($J170,Спр_Дефекты!$A$4:$F$7,5,0),"")</f>
        <v/>
      </c>
      <c r="O170" s="11" t="str">
        <f>IFERROR(VLOOKUP($J170,Спр_Дефекты!$A$4:$F$7,6,0),"")</f>
        <v/>
      </c>
      <c r="P170" s="10"/>
      <c r="Q170" s="10"/>
      <c r="R170" s="10"/>
      <c r="S170" s="10"/>
      <c r="T170" s="10"/>
      <c r="U170" s="10"/>
      <c r="V170" s="11" t="str">
        <f>IFERROR(VLOOKUP($E170,Спр_Опоры!$B$4:$J$70,9,0),"")</f>
        <v/>
      </c>
      <c r="W170" s="10"/>
    </row>
    <row r="171">
      <c r="A171" s="10"/>
      <c r="B171" s="10"/>
      <c r="C171" s="10"/>
      <c r="D171" s="10"/>
      <c r="E171" s="10"/>
      <c r="F171" s="11" t="str">
        <f>IFERROR(VLOOKUP($E171,Спр_Опоры!$B$4:$J$70,2,0),"")</f>
        <v/>
      </c>
      <c r="G171" s="11" t="str">
        <f>IFERROR(VLOOKUP($E171,Спр_Опоры!$B$4:$J$70,3,0),"")</f>
        <v/>
      </c>
      <c r="H171" s="10"/>
      <c r="I171" s="10"/>
      <c r="J171" s="10"/>
      <c r="K171" s="11" t="str">
        <f>IFERROR(VLOOKUP($J171,Спр_Дефекты!$A$4:$F$7,2,0),"")</f>
        <v/>
      </c>
      <c r="L171" s="11" t="str">
        <f>IFERROR(VLOOKUP($J171,Спр_Дефекты!$A$4:$F$7,3,0),"")</f>
        <v/>
      </c>
      <c r="M171" s="11" t="str">
        <f>IFERROR(VLOOKUP($J171,Спр_Дефекты!$A$4:$F$7,4,0),"")</f>
        <v/>
      </c>
      <c r="N171" s="11" t="str">
        <f>IFERROR(VLOOKUP($J171,Спр_Дефекты!$A$4:$F$7,5,0),"")</f>
        <v/>
      </c>
      <c r="O171" s="11" t="str">
        <f>IFERROR(VLOOKUP($J171,Спр_Дефекты!$A$4:$F$7,6,0),"")</f>
        <v/>
      </c>
      <c r="P171" s="10"/>
      <c r="Q171" s="10"/>
      <c r="R171" s="10"/>
      <c r="S171" s="10"/>
      <c r="T171" s="10"/>
      <c r="U171" s="10"/>
      <c r="V171" s="11" t="str">
        <f>IFERROR(VLOOKUP($E171,Спр_Опоры!$B$4:$J$70,9,0),"")</f>
        <v/>
      </c>
      <c r="W171" s="10"/>
    </row>
    <row r="172">
      <c r="A172" s="10"/>
      <c r="B172" s="10"/>
      <c r="C172" s="10"/>
      <c r="D172" s="10"/>
      <c r="E172" s="10"/>
      <c r="F172" s="11" t="str">
        <f>IFERROR(VLOOKUP($E172,Спр_Опоры!$B$4:$J$70,2,0),"")</f>
        <v/>
      </c>
      <c r="G172" s="11" t="str">
        <f>IFERROR(VLOOKUP($E172,Спр_Опоры!$B$4:$J$70,3,0),"")</f>
        <v/>
      </c>
      <c r="H172" s="10"/>
      <c r="I172" s="10"/>
      <c r="J172" s="10"/>
      <c r="K172" s="11" t="str">
        <f>IFERROR(VLOOKUP($J172,Спр_Дефекты!$A$4:$F$7,2,0),"")</f>
        <v/>
      </c>
      <c r="L172" s="11" t="str">
        <f>IFERROR(VLOOKUP($J172,Спр_Дефекты!$A$4:$F$7,3,0),"")</f>
        <v/>
      </c>
      <c r="M172" s="11" t="str">
        <f>IFERROR(VLOOKUP($J172,Спр_Дефекты!$A$4:$F$7,4,0),"")</f>
        <v/>
      </c>
      <c r="N172" s="11" t="str">
        <f>IFERROR(VLOOKUP($J172,Спр_Дефекты!$A$4:$F$7,5,0),"")</f>
        <v/>
      </c>
      <c r="O172" s="11" t="str">
        <f>IFERROR(VLOOKUP($J172,Спр_Дефекты!$A$4:$F$7,6,0),"")</f>
        <v/>
      </c>
      <c r="P172" s="10"/>
      <c r="Q172" s="10"/>
      <c r="R172" s="10"/>
      <c r="S172" s="10"/>
      <c r="T172" s="10"/>
      <c r="U172" s="10"/>
      <c r="V172" s="11" t="str">
        <f>IFERROR(VLOOKUP($E172,Спр_Опоры!$B$4:$J$70,9,0),"")</f>
        <v/>
      </c>
      <c r="W172" s="10"/>
    </row>
    <row r="173">
      <c r="A173" s="10"/>
      <c r="B173" s="10"/>
      <c r="C173" s="10"/>
      <c r="D173" s="10"/>
      <c r="E173" s="10"/>
      <c r="F173" s="11" t="str">
        <f>IFERROR(VLOOKUP($E173,Спр_Опоры!$B$4:$J$70,2,0),"")</f>
        <v/>
      </c>
      <c r="G173" s="11" t="str">
        <f>IFERROR(VLOOKUP($E173,Спр_Опоры!$B$4:$J$70,3,0),"")</f>
        <v/>
      </c>
      <c r="H173" s="10"/>
      <c r="I173" s="10"/>
      <c r="J173" s="10"/>
      <c r="K173" s="11" t="str">
        <f>IFERROR(VLOOKUP($J173,Спр_Дефекты!$A$4:$F$7,2,0),"")</f>
        <v/>
      </c>
      <c r="L173" s="11" t="str">
        <f>IFERROR(VLOOKUP($J173,Спр_Дефекты!$A$4:$F$7,3,0),"")</f>
        <v/>
      </c>
      <c r="M173" s="11" t="str">
        <f>IFERROR(VLOOKUP($J173,Спр_Дефекты!$A$4:$F$7,4,0),"")</f>
        <v/>
      </c>
      <c r="N173" s="11" t="str">
        <f>IFERROR(VLOOKUP($J173,Спр_Дефекты!$A$4:$F$7,5,0),"")</f>
        <v/>
      </c>
      <c r="O173" s="11" t="str">
        <f>IFERROR(VLOOKUP($J173,Спр_Дефекты!$A$4:$F$7,6,0),"")</f>
        <v/>
      </c>
      <c r="P173" s="10"/>
      <c r="Q173" s="10"/>
      <c r="R173" s="10"/>
      <c r="S173" s="10"/>
      <c r="T173" s="10"/>
      <c r="U173" s="10"/>
      <c r="V173" s="11" t="str">
        <f>IFERROR(VLOOKUP($E173,Спр_Опоры!$B$4:$J$70,9,0),"")</f>
        <v/>
      </c>
      <c r="W173" s="10"/>
    </row>
    <row r="174">
      <c r="A174" s="10"/>
      <c r="B174" s="10"/>
      <c r="C174" s="10"/>
      <c r="D174" s="10"/>
      <c r="E174" s="10"/>
      <c r="F174" s="11" t="str">
        <f>IFERROR(VLOOKUP($E174,Спр_Опоры!$B$4:$J$70,2,0),"")</f>
        <v/>
      </c>
      <c r="G174" s="11" t="str">
        <f>IFERROR(VLOOKUP($E174,Спр_Опоры!$B$4:$J$70,3,0),"")</f>
        <v/>
      </c>
      <c r="H174" s="10"/>
      <c r="I174" s="10"/>
      <c r="J174" s="10"/>
      <c r="K174" s="11" t="str">
        <f>IFERROR(VLOOKUP($J174,Спр_Дефекты!$A$4:$F$7,2,0),"")</f>
        <v/>
      </c>
      <c r="L174" s="11" t="str">
        <f>IFERROR(VLOOKUP($J174,Спр_Дефекты!$A$4:$F$7,3,0),"")</f>
        <v/>
      </c>
      <c r="M174" s="11" t="str">
        <f>IFERROR(VLOOKUP($J174,Спр_Дефекты!$A$4:$F$7,4,0),"")</f>
        <v/>
      </c>
      <c r="N174" s="11" t="str">
        <f>IFERROR(VLOOKUP($J174,Спр_Дефекты!$A$4:$F$7,5,0),"")</f>
        <v/>
      </c>
      <c r="O174" s="11" t="str">
        <f>IFERROR(VLOOKUP($J174,Спр_Дефекты!$A$4:$F$7,6,0),"")</f>
        <v/>
      </c>
      <c r="P174" s="10"/>
      <c r="Q174" s="10"/>
      <c r="R174" s="10"/>
      <c r="S174" s="10"/>
      <c r="T174" s="10"/>
      <c r="U174" s="10"/>
      <c r="V174" s="11" t="str">
        <f>IFERROR(VLOOKUP($E174,Спр_Опоры!$B$4:$J$70,9,0),"")</f>
        <v/>
      </c>
      <c r="W174" s="10"/>
    </row>
    <row r="175">
      <c r="A175" s="10"/>
      <c r="B175" s="10"/>
      <c r="C175" s="10"/>
      <c r="D175" s="10"/>
      <c r="E175" s="10"/>
      <c r="F175" s="11" t="str">
        <f>IFERROR(VLOOKUP($E175,Спр_Опоры!$B$4:$J$70,2,0),"")</f>
        <v/>
      </c>
      <c r="G175" s="11" t="str">
        <f>IFERROR(VLOOKUP($E175,Спр_Опоры!$B$4:$J$70,3,0),"")</f>
        <v/>
      </c>
      <c r="H175" s="10"/>
      <c r="I175" s="10"/>
      <c r="J175" s="10"/>
      <c r="K175" s="11" t="str">
        <f>IFERROR(VLOOKUP($J175,Спр_Дефекты!$A$4:$F$7,2,0),"")</f>
        <v/>
      </c>
      <c r="L175" s="11" t="str">
        <f>IFERROR(VLOOKUP($J175,Спр_Дефекты!$A$4:$F$7,3,0),"")</f>
        <v/>
      </c>
      <c r="M175" s="11" t="str">
        <f>IFERROR(VLOOKUP($J175,Спр_Дефекты!$A$4:$F$7,4,0),"")</f>
        <v/>
      </c>
      <c r="N175" s="11" t="str">
        <f>IFERROR(VLOOKUP($J175,Спр_Дефекты!$A$4:$F$7,5,0),"")</f>
        <v/>
      </c>
      <c r="O175" s="11" t="str">
        <f>IFERROR(VLOOKUP($J175,Спр_Дефекты!$A$4:$F$7,6,0),"")</f>
        <v/>
      </c>
      <c r="P175" s="10"/>
      <c r="Q175" s="10"/>
      <c r="R175" s="10"/>
      <c r="S175" s="10"/>
      <c r="T175" s="10"/>
      <c r="U175" s="10"/>
      <c r="V175" s="11" t="str">
        <f>IFERROR(VLOOKUP($E175,Спр_Опоры!$B$4:$J$70,9,0),"")</f>
        <v/>
      </c>
      <c r="W175" s="10"/>
    </row>
    <row r="176">
      <c r="A176" s="10"/>
      <c r="B176" s="10"/>
      <c r="C176" s="10"/>
      <c r="D176" s="10"/>
      <c r="E176" s="10"/>
      <c r="F176" s="11" t="str">
        <f>IFERROR(VLOOKUP($E176,Спр_Опоры!$B$4:$J$70,2,0),"")</f>
        <v/>
      </c>
      <c r="G176" s="11" t="str">
        <f>IFERROR(VLOOKUP($E176,Спр_Опоры!$B$4:$J$70,3,0),"")</f>
        <v/>
      </c>
      <c r="H176" s="10"/>
      <c r="I176" s="10"/>
      <c r="J176" s="10"/>
      <c r="K176" s="11" t="str">
        <f>IFERROR(VLOOKUP($J176,Спр_Дефекты!$A$4:$F$7,2,0),"")</f>
        <v/>
      </c>
      <c r="L176" s="11" t="str">
        <f>IFERROR(VLOOKUP($J176,Спр_Дефекты!$A$4:$F$7,3,0),"")</f>
        <v/>
      </c>
      <c r="M176" s="11" t="str">
        <f>IFERROR(VLOOKUP($J176,Спр_Дефекты!$A$4:$F$7,4,0),"")</f>
        <v/>
      </c>
      <c r="N176" s="11" t="str">
        <f>IFERROR(VLOOKUP($J176,Спр_Дефекты!$A$4:$F$7,5,0),"")</f>
        <v/>
      </c>
      <c r="O176" s="11" t="str">
        <f>IFERROR(VLOOKUP($J176,Спр_Дефекты!$A$4:$F$7,6,0),"")</f>
        <v/>
      </c>
      <c r="P176" s="10"/>
      <c r="Q176" s="10"/>
      <c r="R176" s="10"/>
      <c r="S176" s="10"/>
      <c r="T176" s="10"/>
      <c r="U176" s="10"/>
      <c r="V176" s="11" t="str">
        <f>IFERROR(VLOOKUP($E176,Спр_Опоры!$B$4:$J$70,9,0),"")</f>
        <v/>
      </c>
      <c r="W176" s="10"/>
    </row>
    <row r="177">
      <c r="A177" s="10"/>
      <c r="B177" s="10"/>
      <c r="C177" s="10"/>
      <c r="D177" s="10"/>
      <c r="E177" s="10"/>
      <c r="F177" s="11" t="str">
        <f>IFERROR(VLOOKUP($E177,Спр_Опоры!$B$4:$J$70,2,0),"")</f>
        <v/>
      </c>
      <c r="G177" s="11" t="str">
        <f>IFERROR(VLOOKUP($E177,Спр_Опоры!$B$4:$J$70,3,0),"")</f>
        <v/>
      </c>
      <c r="H177" s="10"/>
      <c r="I177" s="10"/>
      <c r="J177" s="10"/>
      <c r="K177" s="11" t="str">
        <f>IFERROR(VLOOKUP($J177,Спр_Дефекты!$A$4:$F$7,2,0),"")</f>
        <v/>
      </c>
      <c r="L177" s="11" t="str">
        <f>IFERROR(VLOOKUP($J177,Спр_Дефекты!$A$4:$F$7,3,0),"")</f>
        <v/>
      </c>
      <c r="M177" s="11" t="str">
        <f>IFERROR(VLOOKUP($J177,Спр_Дефекты!$A$4:$F$7,4,0),"")</f>
        <v/>
      </c>
      <c r="N177" s="11" t="str">
        <f>IFERROR(VLOOKUP($J177,Спр_Дефекты!$A$4:$F$7,5,0),"")</f>
        <v/>
      </c>
      <c r="O177" s="11" t="str">
        <f>IFERROR(VLOOKUP($J177,Спр_Дефекты!$A$4:$F$7,6,0),"")</f>
        <v/>
      </c>
      <c r="P177" s="10"/>
      <c r="Q177" s="10"/>
      <c r="R177" s="10"/>
      <c r="S177" s="10"/>
      <c r="T177" s="10"/>
      <c r="U177" s="10"/>
      <c r="V177" s="11" t="str">
        <f>IFERROR(VLOOKUP($E177,Спр_Опоры!$B$4:$J$70,9,0),"")</f>
        <v/>
      </c>
      <c r="W177" s="10"/>
    </row>
    <row r="178">
      <c r="A178" s="10"/>
      <c r="B178" s="10"/>
      <c r="C178" s="10"/>
      <c r="D178" s="10"/>
      <c r="E178" s="10"/>
      <c r="F178" s="11" t="str">
        <f>IFERROR(VLOOKUP($E178,Спр_Опоры!$B$4:$J$70,2,0),"")</f>
        <v/>
      </c>
      <c r="G178" s="11" t="str">
        <f>IFERROR(VLOOKUP($E178,Спр_Опоры!$B$4:$J$70,3,0),"")</f>
        <v/>
      </c>
      <c r="H178" s="10"/>
      <c r="I178" s="10"/>
      <c r="J178" s="10"/>
      <c r="K178" s="11" t="str">
        <f>IFERROR(VLOOKUP($J178,Спр_Дефекты!$A$4:$F$7,2,0),"")</f>
        <v/>
      </c>
      <c r="L178" s="11" t="str">
        <f>IFERROR(VLOOKUP($J178,Спр_Дефекты!$A$4:$F$7,3,0),"")</f>
        <v/>
      </c>
      <c r="M178" s="11" t="str">
        <f>IFERROR(VLOOKUP($J178,Спр_Дефекты!$A$4:$F$7,4,0),"")</f>
        <v/>
      </c>
      <c r="N178" s="11" t="str">
        <f>IFERROR(VLOOKUP($J178,Спр_Дефекты!$A$4:$F$7,5,0),"")</f>
        <v/>
      </c>
      <c r="O178" s="11" t="str">
        <f>IFERROR(VLOOKUP($J178,Спр_Дефекты!$A$4:$F$7,6,0),"")</f>
        <v/>
      </c>
      <c r="P178" s="10"/>
      <c r="Q178" s="10"/>
      <c r="R178" s="10"/>
      <c r="S178" s="10"/>
      <c r="T178" s="10"/>
      <c r="U178" s="10"/>
      <c r="V178" s="11" t="str">
        <f>IFERROR(VLOOKUP($E178,Спр_Опоры!$B$4:$J$70,9,0),"")</f>
        <v/>
      </c>
      <c r="W178" s="10"/>
    </row>
    <row r="179">
      <c r="A179" s="10"/>
      <c r="B179" s="10"/>
      <c r="C179" s="10"/>
      <c r="D179" s="10"/>
      <c r="E179" s="10"/>
      <c r="F179" s="11" t="str">
        <f>IFERROR(VLOOKUP($E179,Спр_Опоры!$B$4:$J$70,2,0),"")</f>
        <v/>
      </c>
      <c r="G179" s="11" t="str">
        <f>IFERROR(VLOOKUP($E179,Спр_Опоры!$B$4:$J$70,3,0),"")</f>
        <v/>
      </c>
      <c r="H179" s="10"/>
      <c r="I179" s="10"/>
      <c r="J179" s="10"/>
      <c r="K179" s="11" t="str">
        <f>IFERROR(VLOOKUP($J179,Спр_Дефекты!$A$4:$F$7,2,0),"")</f>
        <v/>
      </c>
      <c r="L179" s="11" t="str">
        <f>IFERROR(VLOOKUP($J179,Спр_Дефекты!$A$4:$F$7,3,0),"")</f>
        <v/>
      </c>
      <c r="M179" s="11" t="str">
        <f>IFERROR(VLOOKUP($J179,Спр_Дефекты!$A$4:$F$7,4,0),"")</f>
        <v/>
      </c>
      <c r="N179" s="11" t="str">
        <f>IFERROR(VLOOKUP($J179,Спр_Дефекты!$A$4:$F$7,5,0),"")</f>
        <v/>
      </c>
      <c r="O179" s="11" t="str">
        <f>IFERROR(VLOOKUP($J179,Спр_Дефекты!$A$4:$F$7,6,0),"")</f>
        <v/>
      </c>
      <c r="P179" s="10"/>
      <c r="Q179" s="10"/>
      <c r="R179" s="10"/>
      <c r="S179" s="10"/>
      <c r="T179" s="10"/>
      <c r="U179" s="10"/>
      <c r="V179" s="11" t="str">
        <f>IFERROR(VLOOKUP($E179,Спр_Опоры!$B$4:$J$70,9,0),"")</f>
        <v/>
      </c>
      <c r="W179" s="10"/>
    </row>
    <row r="180">
      <c r="A180" s="10"/>
      <c r="B180" s="10"/>
      <c r="C180" s="10"/>
      <c r="D180" s="10"/>
      <c r="E180" s="10"/>
      <c r="F180" s="11" t="str">
        <f>IFERROR(VLOOKUP($E180,Спр_Опоры!$B$4:$J$70,2,0),"")</f>
        <v/>
      </c>
      <c r="G180" s="11" t="str">
        <f>IFERROR(VLOOKUP($E180,Спр_Опоры!$B$4:$J$70,3,0),"")</f>
        <v/>
      </c>
      <c r="H180" s="10"/>
      <c r="I180" s="10"/>
      <c r="J180" s="10"/>
      <c r="K180" s="11" t="str">
        <f>IFERROR(VLOOKUP($J180,Спр_Дефекты!$A$4:$F$7,2,0),"")</f>
        <v/>
      </c>
      <c r="L180" s="11" t="str">
        <f>IFERROR(VLOOKUP($J180,Спр_Дефекты!$A$4:$F$7,3,0),"")</f>
        <v/>
      </c>
      <c r="M180" s="11" t="str">
        <f>IFERROR(VLOOKUP($J180,Спр_Дефекты!$A$4:$F$7,4,0),"")</f>
        <v/>
      </c>
      <c r="N180" s="11" t="str">
        <f>IFERROR(VLOOKUP($J180,Спр_Дефекты!$A$4:$F$7,5,0),"")</f>
        <v/>
      </c>
      <c r="O180" s="11" t="str">
        <f>IFERROR(VLOOKUP($J180,Спр_Дефекты!$A$4:$F$7,6,0),"")</f>
        <v/>
      </c>
      <c r="P180" s="10"/>
      <c r="Q180" s="10"/>
      <c r="R180" s="10"/>
      <c r="S180" s="10"/>
      <c r="T180" s="10"/>
      <c r="U180" s="10"/>
      <c r="V180" s="11" t="str">
        <f>IFERROR(VLOOKUP($E180,Спр_Опоры!$B$4:$J$70,9,0),"")</f>
        <v/>
      </c>
      <c r="W180" s="10"/>
    </row>
    <row r="181">
      <c r="A181" s="10"/>
      <c r="B181" s="10"/>
      <c r="C181" s="10"/>
      <c r="D181" s="10"/>
      <c r="E181" s="10"/>
      <c r="F181" s="11" t="str">
        <f>IFERROR(VLOOKUP($E181,Спр_Опоры!$B$4:$J$70,2,0),"")</f>
        <v/>
      </c>
      <c r="G181" s="11" t="str">
        <f>IFERROR(VLOOKUP($E181,Спр_Опоры!$B$4:$J$70,3,0),"")</f>
        <v/>
      </c>
      <c r="H181" s="10"/>
      <c r="I181" s="10"/>
      <c r="J181" s="10"/>
      <c r="K181" s="11" t="str">
        <f>IFERROR(VLOOKUP($J181,Спр_Дефекты!$A$4:$F$7,2,0),"")</f>
        <v/>
      </c>
      <c r="L181" s="11" t="str">
        <f>IFERROR(VLOOKUP($J181,Спр_Дефекты!$A$4:$F$7,3,0),"")</f>
        <v/>
      </c>
      <c r="M181" s="11" t="str">
        <f>IFERROR(VLOOKUP($J181,Спр_Дефекты!$A$4:$F$7,4,0),"")</f>
        <v/>
      </c>
      <c r="N181" s="11" t="str">
        <f>IFERROR(VLOOKUP($J181,Спр_Дефекты!$A$4:$F$7,5,0),"")</f>
        <v/>
      </c>
      <c r="O181" s="11" t="str">
        <f>IFERROR(VLOOKUP($J181,Спр_Дефекты!$A$4:$F$7,6,0),"")</f>
        <v/>
      </c>
      <c r="P181" s="10"/>
      <c r="Q181" s="10"/>
      <c r="R181" s="10"/>
      <c r="S181" s="10"/>
      <c r="T181" s="10"/>
      <c r="U181" s="10"/>
      <c r="V181" s="11" t="str">
        <f>IFERROR(VLOOKUP($E181,Спр_Опоры!$B$4:$J$70,9,0),"")</f>
        <v/>
      </c>
      <c r="W181" s="10"/>
    </row>
    <row r="182">
      <c r="A182" s="10"/>
      <c r="B182" s="10"/>
      <c r="C182" s="10"/>
      <c r="D182" s="10"/>
      <c r="E182" s="10"/>
      <c r="F182" s="11" t="str">
        <f>IFERROR(VLOOKUP($E182,Спр_Опоры!$B$4:$J$70,2,0),"")</f>
        <v/>
      </c>
      <c r="G182" s="11" t="str">
        <f>IFERROR(VLOOKUP($E182,Спр_Опоры!$B$4:$J$70,3,0),"")</f>
        <v/>
      </c>
      <c r="H182" s="10"/>
      <c r="I182" s="10"/>
      <c r="J182" s="10"/>
      <c r="K182" s="11" t="str">
        <f>IFERROR(VLOOKUP($J182,Спр_Дефекты!$A$4:$F$7,2,0),"")</f>
        <v/>
      </c>
      <c r="L182" s="11" t="str">
        <f>IFERROR(VLOOKUP($J182,Спр_Дефекты!$A$4:$F$7,3,0),"")</f>
        <v/>
      </c>
      <c r="M182" s="11" t="str">
        <f>IFERROR(VLOOKUP($J182,Спр_Дефекты!$A$4:$F$7,4,0),"")</f>
        <v/>
      </c>
      <c r="N182" s="11" t="str">
        <f>IFERROR(VLOOKUP($J182,Спр_Дефекты!$A$4:$F$7,5,0),"")</f>
        <v/>
      </c>
      <c r="O182" s="11" t="str">
        <f>IFERROR(VLOOKUP($J182,Спр_Дефекты!$A$4:$F$7,6,0),"")</f>
        <v/>
      </c>
      <c r="P182" s="10"/>
      <c r="Q182" s="10"/>
      <c r="R182" s="10"/>
      <c r="S182" s="10"/>
      <c r="T182" s="10"/>
      <c r="U182" s="10"/>
      <c r="V182" s="11" t="str">
        <f>IFERROR(VLOOKUP($E182,Спр_Опоры!$B$4:$J$70,9,0),"")</f>
        <v/>
      </c>
      <c r="W182" s="10"/>
    </row>
    <row r="183">
      <c r="A183" s="10"/>
      <c r="B183" s="10"/>
      <c r="C183" s="10"/>
      <c r="D183" s="10"/>
      <c r="E183" s="10"/>
      <c r="F183" s="11" t="str">
        <f>IFERROR(VLOOKUP($E183,Спр_Опоры!$B$4:$J$70,2,0),"")</f>
        <v/>
      </c>
      <c r="G183" s="11" t="str">
        <f>IFERROR(VLOOKUP($E183,Спр_Опоры!$B$4:$J$70,3,0),"")</f>
        <v/>
      </c>
      <c r="H183" s="10"/>
      <c r="I183" s="10"/>
      <c r="J183" s="10"/>
      <c r="K183" s="11" t="str">
        <f>IFERROR(VLOOKUP($J183,Спр_Дефекты!$A$4:$F$7,2,0),"")</f>
        <v/>
      </c>
      <c r="L183" s="11" t="str">
        <f>IFERROR(VLOOKUP($J183,Спр_Дефекты!$A$4:$F$7,3,0),"")</f>
        <v/>
      </c>
      <c r="M183" s="11" t="str">
        <f>IFERROR(VLOOKUP($J183,Спр_Дефекты!$A$4:$F$7,4,0),"")</f>
        <v/>
      </c>
      <c r="N183" s="11" t="str">
        <f>IFERROR(VLOOKUP($J183,Спр_Дефекты!$A$4:$F$7,5,0),"")</f>
        <v/>
      </c>
      <c r="O183" s="11" t="str">
        <f>IFERROR(VLOOKUP($J183,Спр_Дефекты!$A$4:$F$7,6,0),"")</f>
        <v/>
      </c>
      <c r="P183" s="10"/>
      <c r="Q183" s="10"/>
      <c r="R183" s="10"/>
      <c r="S183" s="10"/>
      <c r="T183" s="10"/>
      <c r="U183" s="10"/>
      <c r="V183" s="11" t="str">
        <f>IFERROR(VLOOKUP($E183,Спр_Опоры!$B$4:$J$70,9,0),"")</f>
        <v/>
      </c>
      <c r="W183" s="10"/>
    </row>
    <row r="184">
      <c r="A184" s="10"/>
      <c r="B184" s="10"/>
      <c r="C184" s="10"/>
      <c r="D184" s="10"/>
      <c r="E184" s="10"/>
      <c r="F184" s="11" t="str">
        <f>IFERROR(VLOOKUP($E184,Спр_Опоры!$B$4:$J$70,2,0),"")</f>
        <v/>
      </c>
      <c r="G184" s="11" t="str">
        <f>IFERROR(VLOOKUP($E184,Спр_Опоры!$B$4:$J$70,3,0),"")</f>
        <v/>
      </c>
      <c r="H184" s="10"/>
      <c r="I184" s="10"/>
      <c r="J184" s="10"/>
      <c r="K184" s="11" t="str">
        <f>IFERROR(VLOOKUP($J184,Спр_Дефекты!$A$4:$F$7,2,0),"")</f>
        <v/>
      </c>
      <c r="L184" s="11" t="str">
        <f>IFERROR(VLOOKUP($J184,Спр_Дефекты!$A$4:$F$7,3,0),"")</f>
        <v/>
      </c>
      <c r="M184" s="11" t="str">
        <f>IFERROR(VLOOKUP($J184,Спр_Дефекты!$A$4:$F$7,4,0),"")</f>
        <v/>
      </c>
      <c r="N184" s="11" t="str">
        <f>IFERROR(VLOOKUP($J184,Спр_Дефекты!$A$4:$F$7,5,0),"")</f>
        <v/>
      </c>
      <c r="O184" s="11" t="str">
        <f>IFERROR(VLOOKUP($J184,Спр_Дефекты!$A$4:$F$7,6,0),"")</f>
        <v/>
      </c>
      <c r="P184" s="10"/>
      <c r="Q184" s="10"/>
      <c r="R184" s="10"/>
      <c r="S184" s="10"/>
      <c r="T184" s="10"/>
      <c r="U184" s="10"/>
      <c r="V184" s="11" t="str">
        <f>IFERROR(VLOOKUP($E184,Спр_Опоры!$B$4:$J$70,9,0),"")</f>
        <v/>
      </c>
      <c r="W184" s="10"/>
    </row>
    <row r="185">
      <c r="A185" s="10"/>
      <c r="B185" s="10"/>
      <c r="C185" s="10"/>
      <c r="D185" s="10"/>
      <c r="E185" s="10"/>
      <c r="F185" s="11" t="str">
        <f>IFERROR(VLOOKUP($E185,Спр_Опоры!$B$4:$J$70,2,0),"")</f>
        <v/>
      </c>
      <c r="G185" s="11" t="str">
        <f>IFERROR(VLOOKUP($E185,Спр_Опоры!$B$4:$J$70,3,0),"")</f>
        <v/>
      </c>
      <c r="H185" s="10"/>
      <c r="I185" s="10"/>
      <c r="J185" s="10"/>
      <c r="K185" s="11" t="str">
        <f>IFERROR(VLOOKUP($J185,Спр_Дефекты!$A$4:$F$7,2,0),"")</f>
        <v/>
      </c>
      <c r="L185" s="11" t="str">
        <f>IFERROR(VLOOKUP($J185,Спр_Дефекты!$A$4:$F$7,3,0),"")</f>
        <v/>
      </c>
      <c r="M185" s="11" t="str">
        <f>IFERROR(VLOOKUP($J185,Спр_Дефекты!$A$4:$F$7,4,0),"")</f>
        <v/>
      </c>
      <c r="N185" s="11" t="str">
        <f>IFERROR(VLOOKUP($J185,Спр_Дефекты!$A$4:$F$7,5,0),"")</f>
        <v/>
      </c>
      <c r="O185" s="11" t="str">
        <f>IFERROR(VLOOKUP($J185,Спр_Дефекты!$A$4:$F$7,6,0),"")</f>
        <v/>
      </c>
      <c r="P185" s="10"/>
      <c r="Q185" s="10"/>
      <c r="R185" s="10"/>
      <c r="S185" s="10"/>
      <c r="T185" s="10"/>
      <c r="U185" s="10"/>
      <c r="V185" s="11" t="str">
        <f>IFERROR(VLOOKUP($E185,Спр_Опоры!$B$4:$J$70,9,0),"")</f>
        <v/>
      </c>
      <c r="W185" s="10"/>
    </row>
    <row r="186">
      <c r="A186" s="10"/>
      <c r="B186" s="10"/>
      <c r="C186" s="10"/>
      <c r="D186" s="10"/>
      <c r="E186" s="10"/>
      <c r="F186" s="11" t="str">
        <f>IFERROR(VLOOKUP($E186,Спр_Опоры!$B$4:$J$70,2,0),"")</f>
        <v/>
      </c>
      <c r="G186" s="11" t="str">
        <f>IFERROR(VLOOKUP($E186,Спр_Опоры!$B$4:$J$70,3,0),"")</f>
        <v/>
      </c>
      <c r="H186" s="10"/>
      <c r="I186" s="10"/>
      <c r="J186" s="10"/>
      <c r="K186" s="11" t="str">
        <f>IFERROR(VLOOKUP($J186,Спр_Дефекты!$A$4:$F$7,2,0),"")</f>
        <v/>
      </c>
      <c r="L186" s="11" t="str">
        <f>IFERROR(VLOOKUP($J186,Спр_Дефекты!$A$4:$F$7,3,0),"")</f>
        <v/>
      </c>
      <c r="M186" s="11" t="str">
        <f>IFERROR(VLOOKUP($J186,Спр_Дефекты!$A$4:$F$7,4,0),"")</f>
        <v/>
      </c>
      <c r="N186" s="11" t="str">
        <f>IFERROR(VLOOKUP($J186,Спр_Дефекты!$A$4:$F$7,5,0),"")</f>
        <v/>
      </c>
      <c r="O186" s="11" t="str">
        <f>IFERROR(VLOOKUP($J186,Спр_Дефекты!$A$4:$F$7,6,0),"")</f>
        <v/>
      </c>
      <c r="P186" s="10"/>
      <c r="Q186" s="10"/>
      <c r="R186" s="10"/>
      <c r="S186" s="10"/>
      <c r="T186" s="10"/>
      <c r="U186" s="10"/>
      <c r="V186" s="11" t="str">
        <f>IFERROR(VLOOKUP($E186,Спр_Опоры!$B$4:$J$70,9,0),"")</f>
        <v/>
      </c>
      <c r="W186" s="10"/>
    </row>
    <row r="187">
      <c r="A187" s="10"/>
      <c r="B187" s="10"/>
      <c r="C187" s="10"/>
      <c r="D187" s="10"/>
      <c r="E187" s="10"/>
      <c r="F187" s="11" t="str">
        <f>IFERROR(VLOOKUP($E187,Спр_Опоры!$B$4:$J$70,2,0),"")</f>
        <v/>
      </c>
      <c r="G187" s="11" t="str">
        <f>IFERROR(VLOOKUP($E187,Спр_Опоры!$B$4:$J$70,3,0),"")</f>
        <v/>
      </c>
      <c r="H187" s="10"/>
      <c r="I187" s="10"/>
      <c r="J187" s="10"/>
      <c r="K187" s="11" t="str">
        <f>IFERROR(VLOOKUP($J187,Спр_Дефекты!$A$4:$F$7,2,0),"")</f>
        <v/>
      </c>
      <c r="L187" s="11" t="str">
        <f>IFERROR(VLOOKUP($J187,Спр_Дефекты!$A$4:$F$7,3,0),"")</f>
        <v/>
      </c>
      <c r="M187" s="11" t="str">
        <f>IFERROR(VLOOKUP($J187,Спр_Дефекты!$A$4:$F$7,4,0),"")</f>
        <v/>
      </c>
      <c r="N187" s="11" t="str">
        <f>IFERROR(VLOOKUP($J187,Спр_Дефекты!$A$4:$F$7,5,0),"")</f>
        <v/>
      </c>
      <c r="O187" s="11" t="str">
        <f>IFERROR(VLOOKUP($J187,Спр_Дефекты!$A$4:$F$7,6,0),"")</f>
        <v/>
      </c>
      <c r="P187" s="10"/>
      <c r="Q187" s="10"/>
      <c r="R187" s="10"/>
      <c r="S187" s="10"/>
      <c r="T187" s="10"/>
      <c r="U187" s="10"/>
      <c r="V187" s="11" t="str">
        <f>IFERROR(VLOOKUP($E187,Спр_Опоры!$B$4:$J$70,9,0),"")</f>
        <v/>
      </c>
      <c r="W187" s="10"/>
    </row>
    <row r="188">
      <c r="A188" s="10"/>
      <c r="B188" s="10"/>
      <c r="C188" s="10"/>
      <c r="D188" s="10"/>
      <c r="E188" s="10"/>
      <c r="F188" s="11" t="str">
        <f>IFERROR(VLOOKUP($E188,Спр_Опоры!$B$4:$J$70,2,0),"")</f>
        <v/>
      </c>
      <c r="G188" s="11" t="str">
        <f>IFERROR(VLOOKUP($E188,Спр_Опоры!$B$4:$J$70,3,0),"")</f>
        <v/>
      </c>
      <c r="H188" s="10"/>
      <c r="I188" s="10"/>
      <c r="J188" s="10"/>
      <c r="K188" s="11" t="str">
        <f>IFERROR(VLOOKUP($J188,Спр_Дефекты!$A$4:$F$7,2,0),"")</f>
        <v/>
      </c>
      <c r="L188" s="11" t="str">
        <f>IFERROR(VLOOKUP($J188,Спр_Дефекты!$A$4:$F$7,3,0),"")</f>
        <v/>
      </c>
      <c r="M188" s="11" t="str">
        <f>IFERROR(VLOOKUP($J188,Спр_Дефекты!$A$4:$F$7,4,0),"")</f>
        <v/>
      </c>
      <c r="N188" s="11" t="str">
        <f>IFERROR(VLOOKUP($J188,Спр_Дефекты!$A$4:$F$7,5,0),"")</f>
        <v/>
      </c>
      <c r="O188" s="11" t="str">
        <f>IFERROR(VLOOKUP($J188,Спр_Дефекты!$A$4:$F$7,6,0),"")</f>
        <v/>
      </c>
      <c r="P188" s="10"/>
      <c r="Q188" s="10"/>
      <c r="R188" s="10"/>
      <c r="S188" s="10"/>
      <c r="T188" s="10"/>
      <c r="U188" s="10"/>
      <c r="V188" s="11" t="str">
        <f>IFERROR(VLOOKUP($E188,Спр_Опоры!$B$4:$J$70,9,0),"")</f>
        <v/>
      </c>
      <c r="W188" s="10"/>
    </row>
    <row r="189">
      <c r="A189" s="10"/>
      <c r="B189" s="10"/>
      <c r="C189" s="10"/>
      <c r="D189" s="10"/>
      <c r="E189" s="10"/>
      <c r="F189" s="11" t="str">
        <f>IFERROR(VLOOKUP($E189,Спр_Опоры!$B$4:$J$70,2,0),"")</f>
        <v/>
      </c>
      <c r="G189" s="11" t="str">
        <f>IFERROR(VLOOKUP($E189,Спр_Опоры!$B$4:$J$70,3,0),"")</f>
        <v/>
      </c>
      <c r="H189" s="10"/>
      <c r="I189" s="10"/>
      <c r="J189" s="10"/>
      <c r="K189" s="11" t="str">
        <f>IFERROR(VLOOKUP($J189,Спр_Дефекты!$A$4:$F$7,2,0),"")</f>
        <v/>
      </c>
      <c r="L189" s="11" t="str">
        <f>IFERROR(VLOOKUP($J189,Спр_Дефекты!$A$4:$F$7,3,0),"")</f>
        <v/>
      </c>
      <c r="M189" s="11" t="str">
        <f>IFERROR(VLOOKUP($J189,Спр_Дефекты!$A$4:$F$7,4,0),"")</f>
        <v/>
      </c>
      <c r="N189" s="11" t="str">
        <f>IFERROR(VLOOKUP($J189,Спр_Дефекты!$A$4:$F$7,5,0),"")</f>
        <v/>
      </c>
      <c r="O189" s="11" t="str">
        <f>IFERROR(VLOOKUP($J189,Спр_Дефекты!$A$4:$F$7,6,0),"")</f>
        <v/>
      </c>
      <c r="P189" s="10"/>
      <c r="Q189" s="10"/>
      <c r="R189" s="10"/>
      <c r="S189" s="10"/>
      <c r="T189" s="10"/>
      <c r="U189" s="10"/>
      <c r="V189" s="11" t="str">
        <f>IFERROR(VLOOKUP($E189,Спр_Опоры!$B$4:$J$70,9,0),"")</f>
        <v/>
      </c>
      <c r="W189" s="10"/>
    </row>
    <row r="190">
      <c r="A190" s="10"/>
      <c r="B190" s="10"/>
      <c r="C190" s="10"/>
      <c r="D190" s="10"/>
      <c r="E190" s="10"/>
      <c r="F190" s="11" t="str">
        <f>IFERROR(VLOOKUP($E190,Спр_Опоры!$B$4:$J$70,2,0),"")</f>
        <v/>
      </c>
      <c r="G190" s="11" t="str">
        <f>IFERROR(VLOOKUP($E190,Спр_Опоры!$B$4:$J$70,3,0),"")</f>
        <v/>
      </c>
      <c r="H190" s="10"/>
      <c r="I190" s="10"/>
      <c r="J190" s="10"/>
      <c r="K190" s="11" t="str">
        <f>IFERROR(VLOOKUP($J190,Спр_Дефекты!$A$4:$F$7,2,0),"")</f>
        <v/>
      </c>
      <c r="L190" s="11" t="str">
        <f>IFERROR(VLOOKUP($J190,Спр_Дефекты!$A$4:$F$7,3,0),"")</f>
        <v/>
      </c>
      <c r="M190" s="11" t="str">
        <f>IFERROR(VLOOKUP($J190,Спр_Дефекты!$A$4:$F$7,4,0),"")</f>
        <v/>
      </c>
      <c r="N190" s="11" t="str">
        <f>IFERROR(VLOOKUP($J190,Спр_Дефекты!$A$4:$F$7,5,0),"")</f>
        <v/>
      </c>
      <c r="O190" s="11" t="str">
        <f>IFERROR(VLOOKUP($J190,Спр_Дефекты!$A$4:$F$7,6,0),"")</f>
        <v/>
      </c>
      <c r="P190" s="10"/>
      <c r="Q190" s="10"/>
      <c r="R190" s="10"/>
      <c r="S190" s="10"/>
      <c r="T190" s="10"/>
      <c r="U190" s="10"/>
      <c r="V190" s="11" t="str">
        <f>IFERROR(VLOOKUP($E190,Спр_Опоры!$B$4:$J$70,9,0),"")</f>
        <v/>
      </c>
      <c r="W190" s="10"/>
    </row>
    <row r="191">
      <c r="A191" s="10"/>
      <c r="B191" s="10"/>
      <c r="C191" s="10"/>
      <c r="D191" s="10"/>
      <c r="E191" s="10"/>
      <c r="F191" s="11" t="str">
        <f>IFERROR(VLOOKUP($E191,Спр_Опоры!$B$4:$J$70,2,0),"")</f>
        <v/>
      </c>
      <c r="G191" s="11" t="str">
        <f>IFERROR(VLOOKUP($E191,Спр_Опоры!$B$4:$J$70,3,0),"")</f>
        <v/>
      </c>
      <c r="H191" s="10"/>
      <c r="I191" s="10"/>
      <c r="J191" s="10"/>
      <c r="K191" s="11" t="str">
        <f>IFERROR(VLOOKUP($J191,Спр_Дефекты!$A$4:$F$7,2,0),"")</f>
        <v/>
      </c>
      <c r="L191" s="11" t="str">
        <f>IFERROR(VLOOKUP($J191,Спр_Дефекты!$A$4:$F$7,3,0),"")</f>
        <v/>
      </c>
      <c r="M191" s="11" t="str">
        <f>IFERROR(VLOOKUP($J191,Спр_Дефекты!$A$4:$F$7,4,0),"")</f>
        <v/>
      </c>
      <c r="N191" s="11" t="str">
        <f>IFERROR(VLOOKUP($J191,Спр_Дефекты!$A$4:$F$7,5,0),"")</f>
        <v/>
      </c>
      <c r="O191" s="11" t="str">
        <f>IFERROR(VLOOKUP($J191,Спр_Дефекты!$A$4:$F$7,6,0),"")</f>
        <v/>
      </c>
      <c r="P191" s="10"/>
      <c r="Q191" s="10"/>
      <c r="R191" s="10"/>
      <c r="S191" s="10"/>
      <c r="T191" s="10"/>
      <c r="U191" s="10"/>
      <c r="V191" s="11" t="str">
        <f>IFERROR(VLOOKUP($E191,Спр_Опоры!$B$4:$J$70,9,0),"")</f>
        <v/>
      </c>
      <c r="W191" s="10"/>
    </row>
    <row r="192">
      <c r="A192" s="10"/>
      <c r="B192" s="10"/>
      <c r="C192" s="10"/>
      <c r="D192" s="10"/>
      <c r="E192" s="10"/>
      <c r="F192" s="11" t="str">
        <f>IFERROR(VLOOKUP($E192,Спр_Опоры!$B$4:$J$70,2,0),"")</f>
        <v/>
      </c>
      <c r="G192" s="11" t="str">
        <f>IFERROR(VLOOKUP($E192,Спр_Опоры!$B$4:$J$70,3,0),"")</f>
        <v/>
      </c>
      <c r="H192" s="10"/>
      <c r="I192" s="10"/>
      <c r="J192" s="10"/>
      <c r="K192" s="11" t="str">
        <f>IFERROR(VLOOKUP($J192,Спр_Дефекты!$A$4:$F$7,2,0),"")</f>
        <v/>
      </c>
      <c r="L192" s="11" t="str">
        <f>IFERROR(VLOOKUP($J192,Спр_Дефекты!$A$4:$F$7,3,0),"")</f>
        <v/>
      </c>
      <c r="M192" s="11" t="str">
        <f>IFERROR(VLOOKUP($J192,Спр_Дефекты!$A$4:$F$7,4,0),"")</f>
        <v/>
      </c>
      <c r="N192" s="11" t="str">
        <f>IFERROR(VLOOKUP($J192,Спр_Дефекты!$A$4:$F$7,5,0),"")</f>
        <v/>
      </c>
      <c r="O192" s="11" t="str">
        <f>IFERROR(VLOOKUP($J192,Спр_Дефекты!$A$4:$F$7,6,0),"")</f>
        <v/>
      </c>
      <c r="P192" s="10"/>
      <c r="Q192" s="10"/>
      <c r="R192" s="10"/>
      <c r="S192" s="10"/>
      <c r="T192" s="10"/>
      <c r="U192" s="10"/>
      <c r="V192" s="11" t="str">
        <f>IFERROR(VLOOKUP($E192,Спр_Опоры!$B$4:$J$70,9,0),"")</f>
        <v/>
      </c>
      <c r="W192" s="10"/>
    </row>
    <row r="193">
      <c r="A193" s="10"/>
      <c r="B193" s="10"/>
      <c r="C193" s="10"/>
      <c r="D193" s="10"/>
      <c r="E193" s="10"/>
      <c r="F193" s="11" t="str">
        <f>IFERROR(VLOOKUP($E193,Спр_Опоры!$B$4:$J$70,2,0),"")</f>
        <v/>
      </c>
      <c r="G193" s="11" t="str">
        <f>IFERROR(VLOOKUP($E193,Спр_Опоры!$B$4:$J$70,3,0),"")</f>
        <v/>
      </c>
      <c r="H193" s="10"/>
      <c r="I193" s="10"/>
      <c r="J193" s="10"/>
      <c r="K193" s="11" t="str">
        <f>IFERROR(VLOOKUP($J193,Спр_Дефекты!$A$4:$F$7,2,0),"")</f>
        <v/>
      </c>
      <c r="L193" s="11" t="str">
        <f>IFERROR(VLOOKUP($J193,Спр_Дефекты!$A$4:$F$7,3,0),"")</f>
        <v/>
      </c>
      <c r="M193" s="11" t="str">
        <f>IFERROR(VLOOKUP($J193,Спр_Дефекты!$A$4:$F$7,4,0),"")</f>
        <v/>
      </c>
      <c r="N193" s="11" t="str">
        <f>IFERROR(VLOOKUP($J193,Спр_Дефекты!$A$4:$F$7,5,0),"")</f>
        <v/>
      </c>
      <c r="O193" s="11" t="str">
        <f>IFERROR(VLOOKUP($J193,Спр_Дефекты!$A$4:$F$7,6,0),"")</f>
        <v/>
      </c>
      <c r="P193" s="10"/>
      <c r="Q193" s="10"/>
      <c r="R193" s="10"/>
      <c r="S193" s="10"/>
      <c r="T193" s="10"/>
      <c r="U193" s="10"/>
      <c r="V193" s="11" t="str">
        <f>IFERROR(VLOOKUP($E193,Спр_Опоры!$B$4:$J$70,9,0),"")</f>
        <v/>
      </c>
      <c r="W193" s="10"/>
    </row>
    <row r="194">
      <c r="A194" s="10"/>
      <c r="B194" s="10"/>
      <c r="C194" s="10"/>
      <c r="D194" s="10"/>
      <c r="E194" s="10"/>
      <c r="F194" s="11" t="str">
        <f>IFERROR(VLOOKUP($E194,Спр_Опоры!$B$4:$J$70,2,0),"")</f>
        <v/>
      </c>
      <c r="G194" s="11" t="str">
        <f>IFERROR(VLOOKUP($E194,Спр_Опоры!$B$4:$J$70,3,0),"")</f>
        <v/>
      </c>
      <c r="H194" s="10"/>
      <c r="I194" s="10"/>
      <c r="J194" s="10"/>
      <c r="K194" s="11" t="str">
        <f>IFERROR(VLOOKUP($J194,Спр_Дефекты!$A$4:$F$7,2,0),"")</f>
        <v/>
      </c>
      <c r="L194" s="11" t="str">
        <f>IFERROR(VLOOKUP($J194,Спр_Дефекты!$A$4:$F$7,3,0),"")</f>
        <v/>
      </c>
      <c r="M194" s="11" t="str">
        <f>IFERROR(VLOOKUP($J194,Спр_Дефекты!$A$4:$F$7,4,0),"")</f>
        <v/>
      </c>
      <c r="N194" s="11" t="str">
        <f>IFERROR(VLOOKUP($J194,Спр_Дефекты!$A$4:$F$7,5,0),"")</f>
        <v/>
      </c>
      <c r="O194" s="11" t="str">
        <f>IFERROR(VLOOKUP($J194,Спр_Дефекты!$A$4:$F$7,6,0),"")</f>
        <v/>
      </c>
      <c r="P194" s="10"/>
      <c r="Q194" s="10"/>
      <c r="R194" s="10"/>
      <c r="S194" s="10"/>
      <c r="T194" s="10"/>
      <c r="U194" s="10"/>
      <c r="V194" s="11" t="str">
        <f>IFERROR(VLOOKUP($E194,Спр_Опоры!$B$4:$J$70,9,0),"")</f>
        <v/>
      </c>
      <c r="W194" s="10"/>
    </row>
    <row r="195">
      <c r="A195" s="10"/>
      <c r="B195" s="10"/>
      <c r="C195" s="10"/>
      <c r="D195" s="10"/>
      <c r="E195" s="10"/>
      <c r="F195" s="11" t="str">
        <f>IFERROR(VLOOKUP($E195,Спр_Опоры!$B$4:$J$70,2,0),"")</f>
        <v/>
      </c>
      <c r="G195" s="11" t="str">
        <f>IFERROR(VLOOKUP($E195,Спр_Опоры!$B$4:$J$70,3,0),"")</f>
        <v/>
      </c>
      <c r="H195" s="10"/>
      <c r="I195" s="10"/>
      <c r="J195" s="10"/>
      <c r="K195" s="11" t="str">
        <f>IFERROR(VLOOKUP($J195,Спр_Дефекты!$A$4:$F$7,2,0),"")</f>
        <v/>
      </c>
      <c r="L195" s="11" t="str">
        <f>IFERROR(VLOOKUP($J195,Спр_Дефекты!$A$4:$F$7,3,0),"")</f>
        <v/>
      </c>
      <c r="M195" s="11" t="str">
        <f>IFERROR(VLOOKUP($J195,Спр_Дефекты!$A$4:$F$7,4,0),"")</f>
        <v/>
      </c>
      <c r="N195" s="11" t="str">
        <f>IFERROR(VLOOKUP($J195,Спр_Дефекты!$A$4:$F$7,5,0),"")</f>
        <v/>
      </c>
      <c r="O195" s="11" t="str">
        <f>IFERROR(VLOOKUP($J195,Спр_Дефекты!$A$4:$F$7,6,0),"")</f>
        <v/>
      </c>
      <c r="P195" s="10"/>
      <c r="Q195" s="10"/>
      <c r="R195" s="10"/>
      <c r="S195" s="10"/>
      <c r="T195" s="10"/>
      <c r="U195" s="10"/>
      <c r="V195" s="11" t="str">
        <f>IFERROR(VLOOKUP($E195,Спр_Опоры!$B$4:$J$70,9,0),"")</f>
        <v/>
      </c>
      <c r="W195" s="10"/>
    </row>
    <row r="196">
      <c r="A196" s="10"/>
      <c r="B196" s="10"/>
      <c r="C196" s="10"/>
      <c r="D196" s="10"/>
      <c r="E196" s="10"/>
      <c r="F196" s="11" t="str">
        <f>IFERROR(VLOOKUP($E196,Спр_Опоры!$B$4:$J$70,2,0),"")</f>
        <v/>
      </c>
      <c r="G196" s="11" t="str">
        <f>IFERROR(VLOOKUP($E196,Спр_Опоры!$B$4:$J$70,3,0),"")</f>
        <v/>
      </c>
      <c r="H196" s="10"/>
      <c r="I196" s="10"/>
      <c r="J196" s="10"/>
      <c r="K196" s="11" t="str">
        <f>IFERROR(VLOOKUP($J196,Спр_Дефекты!$A$4:$F$7,2,0),"")</f>
        <v/>
      </c>
      <c r="L196" s="11" t="str">
        <f>IFERROR(VLOOKUP($J196,Спр_Дефекты!$A$4:$F$7,3,0),"")</f>
        <v/>
      </c>
      <c r="M196" s="11" t="str">
        <f>IFERROR(VLOOKUP($J196,Спр_Дефекты!$A$4:$F$7,4,0),"")</f>
        <v/>
      </c>
      <c r="N196" s="11" t="str">
        <f>IFERROR(VLOOKUP($J196,Спр_Дефекты!$A$4:$F$7,5,0),"")</f>
        <v/>
      </c>
      <c r="O196" s="11" t="str">
        <f>IFERROR(VLOOKUP($J196,Спр_Дефекты!$A$4:$F$7,6,0),"")</f>
        <v/>
      </c>
      <c r="P196" s="10"/>
      <c r="Q196" s="10"/>
      <c r="R196" s="10"/>
      <c r="S196" s="10"/>
      <c r="T196" s="10"/>
      <c r="U196" s="10"/>
      <c r="V196" s="11" t="str">
        <f>IFERROR(VLOOKUP($E196,Спр_Опоры!$B$4:$J$70,9,0),"")</f>
        <v/>
      </c>
      <c r="W196" s="10"/>
    </row>
    <row r="197">
      <c r="A197" s="10"/>
      <c r="B197" s="10"/>
      <c r="C197" s="10"/>
      <c r="D197" s="10"/>
      <c r="E197" s="10"/>
      <c r="F197" s="11" t="str">
        <f>IFERROR(VLOOKUP($E197,Спр_Опоры!$B$4:$J$70,2,0),"")</f>
        <v/>
      </c>
      <c r="G197" s="11" t="str">
        <f>IFERROR(VLOOKUP($E197,Спр_Опоры!$B$4:$J$70,3,0),"")</f>
        <v/>
      </c>
      <c r="H197" s="10"/>
      <c r="I197" s="10"/>
      <c r="J197" s="10"/>
      <c r="K197" s="11" t="str">
        <f>IFERROR(VLOOKUP($J197,Спр_Дефекты!$A$4:$F$7,2,0),"")</f>
        <v/>
      </c>
      <c r="L197" s="11" t="str">
        <f>IFERROR(VLOOKUP($J197,Спр_Дефекты!$A$4:$F$7,3,0),"")</f>
        <v/>
      </c>
      <c r="M197" s="11" t="str">
        <f>IFERROR(VLOOKUP($J197,Спр_Дефекты!$A$4:$F$7,4,0),"")</f>
        <v/>
      </c>
      <c r="N197" s="11" t="str">
        <f>IFERROR(VLOOKUP($J197,Спр_Дефекты!$A$4:$F$7,5,0),"")</f>
        <v/>
      </c>
      <c r="O197" s="11" t="str">
        <f>IFERROR(VLOOKUP($J197,Спр_Дефекты!$A$4:$F$7,6,0),"")</f>
        <v/>
      </c>
      <c r="P197" s="10"/>
      <c r="Q197" s="10"/>
      <c r="R197" s="10"/>
      <c r="S197" s="10"/>
      <c r="T197" s="10"/>
      <c r="U197" s="10"/>
      <c r="V197" s="11" t="str">
        <f>IFERROR(VLOOKUP($E197,Спр_Опоры!$B$4:$J$70,9,0),"")</f>
        <v/>
      </c>
      <c r="W197" s="10"/>
    </row>
    <row r="198">
      <c r="A198" s="10"/>
      <c r="B198" s="10"/>
      <c r="C198" s="10"/>
      <c r="D198" s="10"/>
      <c r="E198" s="10"/>
      <c r="F198" s="11" t="str">
        <f>IFERROR(VLOOKUP($E198,Спр_Опоры!$B$4:$J$70,2,0),"")</f>
        <v/>
      </c>
      <c r="G198" s="11" t="str">
        <f>IFERROR(VLOOKUP($E198,Спр_Опоры!$B$4:$J$70,3,0),"")</f>
        <v/>
      </c>
      <c r="H198" s="10"/>
      <c r="I198" s="10"/>
      <c r="J198" s="10"/>
      <c r="K198" s="11" t="str">
        <f>IFERROR(VLOOKUP($J198,Спр_Дефекты!$A$4:$F$7,2,0),"")</f>
        <v/>
      </c>
      <c r="L198" s="11" t="str">
        <f>IFERROR(VLOOKUP($J198,Спр_Дефекты!$A$4:$F$7,3,0),"")</f>
        <v/>
      </c>
      <c r="M198" s="11" t="str">
        <f>IFERROR(VLOOKUP($J198,Спр_Дефекты!$A$4:$F$7,4,0),"")</f>
        <v/>
      </c>
      <c r="N198" s="11" t="str">
        <f>IFERROR(VLOOKUP($J198,Спр_Дефекты!$A$4:$F$7,5,0),"")</f>
        <v/>
      </c>
      <c r="O198" s="11" t="str">
        <f>IFERROR(VLOOKUP($J198,Спр_Дефекты!$A$4:$F$7,6,0),"")</f>
        <v/>
      </c>
      <c r="P198" s="10"/>
      <c r="Q198" s="10"/>
      <c r="R198" s="10"/>
      <c r="S198" s="10"/>
      <c r="T198" s="10"/>
      <c r="U198" s="10"/>
      <c r="V198" s="11" t="str">
        <f>IFERROR(VLOOKUP($E198,Спр_Опоры!$B$4:$J$70,9,0),"")</f>
        <v/>
      </c>
      <c r="W198" s="10"/>
    </row>
    <row r="199">
      <c r="A199" s="10"/>
      <c r="B199" s="10"/>
      <c r="C199" s="10"/>
      <c r="D199" s="10"/>
      <c r="E199" s="10"/>
      <c r="F199" s="11" t="str">
        <f>IFERROR(VLOOKUP($E199,Спр_Опоры!$B$4:$J$70,2,0),"")</f>
        <v/>
      </c>
      <c r="G199" s="11" t="str">
        <f>IFERROR(VLOOKUP($E199,Спр_Опоры!$B$4:$J$70,3,0),"")</f>
        <v/>
      </c>
      <c r="H199" s="10"/>
      <c r="I199" s="10"/>
      <c r="J199" s="10"/>
      <c r="K199" s="11" t="str">
        <f>IFERROR(VLOOKUP($J199,Спр_Дефекты!$A$4:$F$7,2,0),"")</f>
        <v/>
      </c>
      <c r="L199" s="11" t="str">
        <f>IFERROR(VLOOKUP($J199,Спр_Дефекты!$A$4:$F$7,3,0),"")</f>
        <v/>
      </c>
      <c r="M199" s="11" t="str">
        <f>IFERROR(VLOOKUP($J199,Спр_Дефекты!$A$4:$F$7,4,0),"")</f>
        <v/>
      </c>
      <c r="N199" s="11" t="str">
        <f>IFERROR(VLOOKUP($J199,Спр_Дефекты!$A$4:$F$7,5,0),"")</f>
        <v/>
      </c>
      <c r="O199" s="11" t="str">
        <f>IFERROR(VLOOKUP($J199,Спр_Дефекты!$A$4:$F$7,6,0),"")</f>
        <v/>
      </c>
      <c r="P199" s="10"/>
      <c r="Q199" s="10"/>
      <c r="R199" s="10"/>
      <c r="S199" s="10"/>
      <c r="T199" s="10"/>
      <c r="U199" s="10"/>
      <c r="V199" s="11" t="str">
        <f>IFERROR(VLOOKUP($E199,Спр_Опоры!$B$4:$J$70,9,0),"")</f>
        <v/>
      </c>
      <c r="W199" s="10"/>
    </row>
    <row r="200">
      <c r="A200" s="10"/>
      <c r="B200" s="10"/>
      <c r="C200" s="10"/>
      <c r="D200" s="10"/>
      <c r="E200" s="10"/>
      <c r="F200" s="11" t="str">
        <f>IFERROR(VLOOKUP($E200,Спр_Опоры!$B$4:$J$70,2,0),"")</f>
        <v/>
      </c>
      <c r="G200" s="11" t="str">
        <f>IFERROR(VLOOKUP($E200,Спр_Опоры!$B$4:$J$70,3,0),"")</f>
        <v/>
      </c>
      <c r="H200" s="10"/>
      <c r="I200" s="10"/>
      <c r="J200" s="10"/>
      <c r="K200" s="11" t="str">
        <f>IFERROR(VLOOKUP($J200,Спр_Дефекты!$A$4:$F$7,2,0),"")</f>
        <v/>
      </c>
      <c r="L200" s="11" t="str">
        <f>IFERROR(VLOOKUP($J200,Спр_Дефекты!$A$4:$F$7,3,0),"")</f>
        <v/>
      </c>
      <c r="M200" s="11" t="str">
        <f>IFERROR(VLOOKUP($J200,Спр_Дефекты!$A$4:$F$7,4,0),"")</f>
        <v/>
      </c>
      <c r="N200" s="11" t="str">
        <f>IFERROR(VLOOKUP($J200,Спр_Дефекты!$A$4:$F$7,5,0),"")</f>
        <v/>
      </c>
      <c r="O200" s="11" t="str">
        <f>IFERROR(VLOOKUP($J200,Спр_Дефекты!$A$4:$F$7,6,0),"")</f>
        <v/>
      </c>
      <c r="P200" s="10"/>
      <c r="Q200" s="10"/>
      <c r="R200" s="10"/>
      <c r="S200" s="10"/>
      <c r="T200" s="10"/>
      <c r="U200" s="10"/>
      <c r="V200" s="11" t="str">
        <f>IFERROR(VLOOKUP($E200,Спр_Опоры!$B$4:$J$70,9,0),"")</f>
        <v/>
      </c>
      <c r="W200" s="10"/>
    </row>
    <row r="201">
      <c r="A201" s="10"/>
      <c r="B201" s="10"/>
      <c r="C201" s="10"/>
      <c r="D201" s="10"/>
      <c r="E201" s="10"/>
      <c r="F201" s="11" t="str">
        <f>IFERROR(VLOOKUP($E201,Спр_Опоры!$B$4:$J$70,2,0),"")</f>
        <v/>
      </c>
      <c r="G201" s="11" t="str">
        <f>IFERROR(VLOOKUP($E201,Спр_Опоры!$B$4:$J$70,3,0),"")</f>
        <v/>
      </c>
      <c r="H201" s="10"/>
      <c r="I201" s="10"/>
      <c r="J201" s="10"/>
      <c r="K201" s="11" t="str">
        <f>IFERROR(VLOOKUP($J201,Спр_Дефекты!$A$4:$F$7,2,0),"")</f>
        <v/>
      </c>
      <c r="L201" s="11" t="str">
        <f>IFERROR(VLOOKUP($J201,Спр_Дефекты!$A$4:$F$7,3,0),"")</f>
        <v/>
      </c>
      <c r="M201" s="11" t="str">
        <f>IFERROR(VLOOKUP($J201,Спр_Дефекты!$A$4:$F$7,4,0),"")</f>
        <v/>
      </c>
      <c r="N201" s="11" t="str">
        <f>IFERROR(VLOOKUP($J201,Спр_Дефекты!$A$4:$F$7,5,0),"")</f>
        <v/>
      </c>
      <c r="O201" s="11" t="str">
        <f>IFERROR(VLOOKUP($J201,Спр_Дефекты!$A$4:$F$7,6,0),"")</f>
        <v/>
      </c>
      <c r="P201" s="10"/>
      <c r="Q201" s="10"/>
      <c r="R201" s="10"/>
      <c r="S201" s="10"/>
      <c r="T201" s="10"/>
      <c r="U201" s="10"/>
      <c r="V201" s="11" t="str">
        <f>IFERROR(VLOOKUP($E201,Спр_Опоры!$B$4:$J$70,9,0),"")</f>
        <v/>
      </c>
      <c r="W201" s="10"/>
    </row>
    <row r="202">
      <c r="A202" s="10"/>
      <c r="B202" s="10"/>
      <c r="C202" s="10"/>
      <c r="D202" s="10"/>
      <c r="E202" s="10"/>
      <c r="F202" s="11" t="str">
        <f>IFERROR(VLOOKUP($E202,Спр_Опоры!$B$4:$J$70,2,0),"")</f>
        <v/>
      </c>
      <c r="G202" s="11" t="str">
        <f>IFERROR(VLOOKUP($E202,Спр_Опоры!$B$4:$J$70,3,0),"")</f>
        <v/>
      </c>
      <c r="H202" s="10"/>
      <c r="I202" s="10"/>
      <c r="J202" s="10"/>
      <c r="K202" s="11" t="str">
        <f>IFERROR(VLOOKUP($J202,Спр_Дефекты!$A$4:$F$7,2,0),"")</f>
        <v/>
      </c>
      <c r="L202" s="11" t="str">
        <f>IFERROR(VLOOKUP($J202,Спр_Дефекты!$A$4:$F$7,3,0),"")</f>
        <v/>
      </c>
      <c r="M202" s="11" t="str">
        <f>IFERROR(VLOOKUP($J202,Спр_Дефекты!$A$4:$F$7,4,0),"")</f>
        <v/>
      </c>
      <c r="N202" s="11" t="str">
        <f>IFERROR(VLOOKUP($J202,Спр_Дефекты!$A$4:$F$7,5,0),"")</f>
        <v/>
      </c>
      <c r="O202" s="11" t="str">
        <f>IFERROR(VLOOKUP($J202,Спр_Дефекты!$A$4:$F$7,6,0),"")</f>
        <v/>
      </c>
      <c r="P202" s="10"/>
      <c r="Q202" s="10"/>
      <c r="R202" s="10"/>
      <c r="S202" s="10"/>
      <c r="T202" s="10"/>
      <c r="U202" s="10"/>
      <c r="V202" s="11" t="str">
        <f>IFERROR(VLOOKUP($E202,Спр_Опоры!$B$4:$J$70,9,0),"")</f>
        <v/>
      </c>
      <c r="W202" s="10"/>
    </row>
  </sheetData>
  <dataValidations count="6" disablePrompts="0">
    <dataValidation sqref="I2:I202" type="list" allowBlank="1" errorStyle="stop" imeMode="noControl" operator="between" showDropDown="0" showErrorMessage="0" showInputMessage="0">
      <formula1>Спр_Дефекты!$A$4:$A$7</formula1>
    </dataValidation>
    <dataValidation sqref="Q2:Q202" type="list" allowBlank="1" errorStyle="stop" imeMode="noControl" operator="between" showDropDown="0" showErrorMessage="0" showInputMessage="0">
      <formula1>Спр_Списки!$F$2:$F$3</formula1>
    </dataValidation>
    <dataValidation sqref="D2:D202" type="list" allowBlank="1" errorStyle="stop" imeMode="noControl" operator="between" showDropDown="0" showErrorMessage="0" showInputMessage="0">
      <formula1>Спр_Списки!$A$2:$A$11</formula1>
    </dataValidation>
    <dataValidation sqref="E2:E202" type="list" allowBlank="1" errorStyle="stop" imeMode="noControl" operator="between" showDropDown="0" showErrorMessage="0" showInputMessage="0">
      <formula1>INDIRECT(IFERROR(VLOOKUP($D2,Спр_Опоры!$M$4:$N$13,2,0),"Опоры_10"))</formula1>
    </dataValidation>
    <dataValidation sqref="J2:J202" type="list" allowBlank="1" errorStyle="stop" imeMode="noControl" operator="between" showDropDown="0" showErrorMessage="0" showInputMessage="0">
      <formula1>Спр_Дефекты!$A$4:$A$7</formula1>
    </dataValidation>
    <dataValidation sqref="R2:R202" type="list" allowBlank="1" errorStyle="stop" imeMode="noControl" operator="between" showDropDown="0" showErrorMessage="0" showInputMessage="0">
      <formula1>Спр_Списки!$F$2:$F$3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10"/>
    <col customWidth="1" min="2" max="2" width="22"/>
    <col customWidth="1" min="3" max="3" width="44"/>
    <col customWidth="1" min="4" max="4" width="16"/>
    <col customWidth="1" min="5" max="5" width="12"/>
    <col customWidth="1" min="6" max="6" width="10"/>
    <col customWidth="1" min="7" max="7" width="40"/>
    <col customWidth="1" min="8" max="8" width="16"/>
    <col customWidth="1" min="9" max="9" width="26"/>
    <col customWidth="1" min="10" max="10" width="30"/>
    <col customWidth="1" min="11" max="11" width="16"/>
  </cols>
  <sheetData>
    <row r="1" ht="44.100000000000001" customHeight="1">
      <c r="A1" s="2" t="s">
        <v>326</v>
      </c>
      <c r="B1" s="2" t="s">
        <v>297</v>
      </c>
      <c r="C1" s="2" t="s">
        <v>354</v>
      </c>
      <c r="D1" s="2" t="s">
        <v>355</v>
      </c>
      <c r="E1" s="2" t="s">
        <v>76</v>
      </c>
      <c r="F1" s="2" t="s">
        <v>356</v>
      </c>
      <c r="G1" s="2" t="s">
        <v>357</v>
      </c>
      <c r="H1" s="2" t="s">
        <v>358</v>
      </c>
      <c r="I1" s="2" t="s">
        <v>359</v>
      </c>
      <c r="J1" s="2" t="s">
        <v>360</v>
      </c>
      <c r="K1" s="2" t="s">
        <v>306</v>
      </c>
    </row>
    <row r="2" ht="121.5">
      <c r="A2" s="17" t="s">
        <v>345</v>
      </c>
      <c r="B2" s="17" t="s">
        <v>142</v>
      </c>
      <c r="C2" s="17" t="s">
        <v>361</v>
      </c>
      <c r="D2" s="18" t="str">
        <f>IFERROR(VLOOKUP($C2,Спр_Измерения!$A$4:$F$16,2,0),"")</f>
        <v xml:space="preserve">1,2 м</v>
      </c>
      <c r="E2" s="18" t="str">
        <f>IFERROR(VLOOKUP($C2,Спр_Измерения!$A$4:$F$16,3,0),"")</f>
        <v xml:space="preserve">Фактическая прочность, МПа; Проектный класс бетона (число, МПа)</v>
      </c>
      <c r="F2" s="18" t="str">
        <f>IFERROR(VLOOKUP($C2,Спр_Измерения!$A$4:$F$16,4,0),"")</f>
        <v>35</v>
      </c>
      <c r="G2" s="18" t="str">
        <f>IFERROR(VLOOKUP($C2,Спр_Измерения!$A$4:$F$16,5,0),"")</f>
        <v>МПа</v>
      </c>
      <c r="H2" s="18" t="str">
        <f>IFERROR(VLOOKUP($C2,Спр_Измерения!$A$4:$G$16,6,0),"")</f>
        <v xml:space="preserve">не ниже проектного класса бетона B30 (ГОСТ 22690-2015)</v>
      </c>
      <c r="I2" s="17" t="s">
        <v>362</v>
      </c>
      <c r="J2" s="18" t="s">
        <v>311</v>
      </c>
      <c r="K2" s="16"/>
    </row>
    <row r="3" ht="121.5">
      <c r="A3" s="17" t="s">
        <v>345</v>
      </c>
      <c r="B3" s="17" t="s">
        <v>142</v>
      </c>
      <c r="C3" s="17" t="s">
        <v>363</v>
      </c>
      <c r="D3" s="18" t="str">
        <f>IFERROR(VLOOKUP($C2,Спр_Измерения!$A$4:$F$16,2,0),"")</f>
        <v xml:space="preserve">1,2 м</v>
      </c>
      <c r="E3" s="18" t="str">
        <f>IFERROR(VLOOKUP($C3,Спр_Измерения!$A$4:$F$16,3,0),"")</f>
        <v xml:space="preserve">Угол отклонения от вертикали, град; Высота опоры (надземная часть), м</v>
      </c>
      <c r="F3" s="18" t="str">
        <f>IFERROR(VLOOKUP($C3,Спр_Измерения!$A$4:$F$16,4,0),"")</f>
        <v>1/115</v>
      </c>
      <c r="G3" s="18" t="str">
        <f>IFERROR(VLOOKUP($C3,Спр_Измерения!$A$4:$F$16,5,0),"")</f>
        <v>—</v>
      </c>
      <c r="H3" s="18" t="str">
        <f>IFERROR(VLOOKUP($C2,Спр_Измерения!$A$4:$G$16,6,0),"")</f>
        <v xml:space="preserve">не ниже проектного класса бетона B30 (ГОСТ 22690-2015)</v>
      </c>
      <c r="I3" s="17" t="s">
        <v>364</v>
      </c>
      <c r="J3" s="18" t="s">
        <v>311</v>
      </c>
      <c r="K3" s="16"/>
    </row>
    <row r="4" ht="54">
      <c r="A4" s="17" t="s">
        <v>345</v>
      </c>
      <c r="B4" s="17" t="s">
        <v>142</v>
      </c>
      <c r="C4" s="17" t="s">
        <v>365</v>
      </c>
      <c r="D4" s="18" t="str">
        <f>IFERROR(VLOOKUP($C3,Спр_Измерения!$A$4:$F$16,2,0),"")</f>
        <v>вершина</v>
      </c>
      <c r="E4" s="18" t="str">
        <f>IFERROR(VLOOKUP($C3,Спр_Измерения!$A$4:$F$16,3,0),"")</f>
        <v xml:space="preserve">Угол отклонения от вертикали, град; Высота опоры (надземная часть), м</v>
      </c>
      <c r="F4" s="18" t="str">
        <f>IFERROR(VLOOKUP($C3,Спр_Измерения!$A$4:$F$16,4,0),"")</f>
        <v>1/115</v>
      </c>
      <c r="G4" s="18" t="str">
        <f>IFERROR(VLOOKUP($C3,Спр_Измерения!$A$4:$F$16,5,0),"")</f>
        <v>—</v>
      </c>
      <c r="H4" s="18" t="str">
        <f>IFERROR(VLOOKUP($C3,Спр_Измерения!$A$4:$G$16,6,0),"")</f>
        <v xml:space="preserve">не более 1/100 высоты опоры (ГОСТ 31937-2024, СП 20.13330.2016)</v>
      </c>
      <c r="I4" s="19" t="s">
        <v>364</v>
      </c>
      <c r="J4" s="18" t="s">
        <v>311</v>
      </c>
      <c r="K4" s="16"/>
    </row>
    <row r="5" ht="27">
      <c r="A5" s="17" t="s">
        <v>348</v>
      </c>
      <c r="B5" s="17" t="s">
        <v>142</v>
      </c>
      <c r="C5" s="17" t="s">
        <v>363</v>
      </c>
      <c r="D5" s="18" t="str">
        <f>IFERROR(VLOOKUP($C3,Спр_Измерения!$A$4:$F$16,2,0),"")</f>
        <v>вершина</v>
      </c>
      <c r="E5" s="18" t="s">
        <v>366</v>
      </c>
      <c r="F5" s="18" t="str">
        <f>IFERROR(VLOOKUP($C3,Спр_Измерения!$A$4:$F$16,4,0),"")</f>
        <v>1/115</v>
      </c>
      <c r="G5" s="18" t="str">
        <f>IFERROR(VLOOKUP($C3,Спр_Измерения!$A$4:$F$16,5,0),"")</f>
        <v>—</v>
      </c>
      <c r="H5" s="18" t="s">
        <v>367</v>
      </c>
      <c r="I5" s="19" t="s">
        <v>364</v>
      </c>
      <c r="J5" s="18" t="s">
        <v>311</v>
      </c>
      <c r="K5" s="16"/>
    </row>
    <row r="6">
      <c r="A6" s="10"/>
      <c r="B6" s="10"/>
      <c r="C6" s="10"/>
      <c r="D6" s="11" t="str">
        <f>IFERROR(VLOOKUP($C6,Спр_Измерения!$A$4:$F$16,2,0),"")</f>
        <v/>
      </c>
      <c r="E6" s="11" t="str">
        <f>IFERROR(VLOOKUP($C6,Спр_Измерения!$A$4:$F$16,3,0),"")</f>
        <v/>
      </c>
      <c r="F6" s="11" t="str">
        <f>IFERROR(VLOOKUP($C6,Спр_Измерения!$A$4:$F$16,4,0),"")</f>
        <v/>
      </c>
      <c r="G6" s="11" t="str">
        <f>IFERROR(VLOOKUP($C6,Спр_Измерения!$A$4:$F$16,5,0),"")</f>
        <v/>
      </c>
      <c r="H6" s="11" t="str">
        <f>IFERROR(VLOOKUP($C6,Спр_Измерения!$A$4:$G$16,6,0),"")</f>
        <v/>
      </c>
      <c r="I6" s="10"/>
      <c r="J6" s="11" t="str">
        <f>IFERROR(VLOOKUP($C6,Спр_Измерения!$A$4:$G$16,7,0),"")</f>
        <v/>
      </c>
      <c r="K6" s="9"/>
    </row>
    <row r="7">
      <c r="A7" s="10"/>
      <c r="B7" s="10"/>
      <c r="C7" s="10"/>
      <c r="D7" s="11" t="str">
        <f>IFERROR(VLOOKUP($C7,Спр_Измерения!$A$4:$F$16,2,0),"")</f>
        <v/>
      </c>
      <c r="E7" s="11" t="str">
        <f>IFERROR(VLOOKUP($C7,Спр_Измерения!$A$4:$F$16,3,0),"")</f>
        <v/>
      </c>
      <c r="F7" s="11" t="str">
        <f>IFERROR(VLOOKUP($C7,Спр_Измерения!$A$4:$F$16,4,0),"")</f>
        <v/>
      </c>
      <c r="G7" s="11" t="str">
        <f>IFERROR(VLOOKUP($C7,Спр_Измерения!$A$4:$F$16,5,0),"")</f>
        <v/>
      </c>
      <c r="H7" s="11" t="str">
        <f>IFERROR(VLOOKUP($C7,Спр_Измерения!$A$4:$G$16,6,0),"")</f>
        <v/>
      </c>
      <c r="I7" s="10"/>
      <c r="J7" s="11" t="str">
        <f>IFERROR(VLOOKUP($C7,Спр_Измерения!$A$4:$G$16,7,0),"")</f>
        <v/>
      </c>
      <c r="K7" s="9"/>
    </row>
    <row r="8">
      <c r="A8" s="10"/>
      <c r="B8" s="10"/>
      <c r="C8" s="10"/>
      <c r="D8" s="11" t="str">
        <f>IFERROR(VLOOKUP($C8,Спр_Измерения!$A$4:$F$16,2,0),"")</f>
        <v/>
      </c>
      <c r="E8" s="11" t="str">
        <f>IFERROR(VLOOKUP($C8,Спр_Измерения!$A$4:$F$16,3,0),"")</f>
        <v/>
      </c>
      <c r="F8" s="11" t="str">
        <f>IFERROR(VLOOKUP($C8,Спр_Измерения!$A$4:$F$16,4,0),"")</f>
        <v/>
      </c>
      <c r="G8" s="11" t="str">
        <f>IFERROR(VLOOKUP($C8,Спр_Измерения!$A$4:$F$16,5,0),"")</f>
        <v/>
      </c>
      <c r="H8" s="11" t="str">
        <f>IFERROR(VLOOKUP($C8,Спр_Измерения!$A$4:$G$16,6,0),"")</f>
        <v/>
      </c>
      <c r="I8" s="10"/>
      <c r="J8" s="11" t="str">
        <f>IFERROR(VLOOKUP($C8,Спр_Измерения!$A$4:$G$16,7,0),"")</f>
        <v/>
      </c>
      <c r="K8" s="9"/>
    </row>
    <row r="9">
      <c r="A9" s="10"/>
      <c r="B9" s="10"/>
      <c r="C9" s="10"/>
      <c r="D9" s="11" t="str">
        <f>IFERROR(VLOOKUP($C9,Спр_Измерения!$A$4:$F$16,2,0),"")</f>
        <v/>
      </c>
      <c r="E9" s="11" t="str">
        <f>IFERROR(VLOOKUP($C9,Спр_Измерения!$A$4:$F$16,3,0),"")</f>
        <v/>
      </c>
      <c r="F9" s="11" t="str">
        <f>IFERROR(VLOOKUP($C9,Спр_Измерения!$A$4:$F$16,4,0),"")</f>
        <v/>
      </c>
      <c r="G9" s="11" t="str">
        <f>IFERROR(VLOOKUP($C9,Спр_Измерения!$A$4:$F$16,5,0),"")</f>
        <v/>
      </c>
      <c r="H9" s="11" t="str">
        <f>IFERROR(VLOOKUP($C9,Спр_Измерения!$A$4:$G$16,6,0),"")</f>
        <v/>
      </c>
      <c r="I9" s="10"/>
      <c r="J9" s="11" t="str">
        <f>IFERROR(VLOOKUP($C9,Спр_Измерения!$A$4:$G$16,7,0),"")</f>
        <v/>
      </c>
      <c r="K9" s="9"/>
    </row>
    <row r="10">
      <c r="A10" s="10"/>
      <c r="B10" s="10"/>
      <c r="C10" s="10"/>
      <c r="D10" s="11" t="str">
        <f>IFERROR(VLOOKUP($C10,Спр_Измерения!$A$4:$F$16,2,0),"")</f>
        <v/>
      </c>
      <c r="E10" s="11" t="str">
        <f>IFERROR(VLOOKUP($C10,Спр_Измерения!$A$4:$F$16,3,0),"")</f>
        <v/>
      </c>
      <c r="F10" s="11" t="str">
        <f>IFERROR(VLOOKUP($C10,Спр_Измерения!$A$4:$F$16,4,0),"")</f>
        <v/>
      </c>
      <c r="G10" s="11" t="str">
        <f>IFERROR(VLOOKUP($C10,Спр_Измерения!$A$4:$F$16,5,0),"")</f>
        <v/>
      </c>
      <c r="H10" s="11" t="str">
        <f>IFERROR(VLOOKUP($C10,Спр_Измерения!$A$4:$G$16,6,0),"")</f>
        <v/>
      </c>
      <c r="I10" s="10"/>
      <c r="J10" s="11" t="str">
        <f>IFERROR(VLOOKUP($C10,Спр_Измерения!$A$4:$G$16,7,0),"")</f>
        <v/>
      </c>
      <c r="K10" s="9"/>
    </row>
    <row r="11">
      <c r="A11" s="10"/>
      <c r="B11" s="10"/>
      <c r="C11" s="10"/>
      <c r="D11" s="11" t="str">
        <f>IFERROR(VLOOKUP($C11,Спр_Измерения!$A$4:$F$16,2,0),"")</f>
        <v/>
      </c>
      <c r="E11" s="11" t="str">
        <f>IFERROR(VLOOKUP($C11,Спр_Измерения!$A$4:$F$16,3,0),"")</f>
        <v/>
      </c>
      <c r="F11" s="11" t="str">
        <f>IFERROR(VLOOKUP($C11,Спр_Измерения!$A$4:$F$16,4,0),"")</f>
        <v/>
      </c>
      <c r="G11" s="11" t="str">
        <f>IFERROR(VLOOKUP($C11,Спр_Измерения!$A$4:$F$16,5,0),"")</f>
        <v/>
      </c>
      <c r="H11" s="11" t="str">
        <f>IFERROR(VLOOKUP($C11,Спр_Измерения!$A$4:$G$16,6,0),"")</f>
        <v/>
      </c>
      <c r="I11" s="10"/>
      <c r="J11" s="11" t="str">
        <f>IFERROR(VLOOKUP($C11,Спр_Измерения!$A$4:$G$16,7,0),"")</f>
        <v/>
      </c>
      <c r="K11" s="9"/>
    </row>
    <row r="12">
      <c r="A12" s="10"/>
      <c r="B12" s="10"/>
      <c r="C12" s="10"/>
      <c r="D12" s="11" t="str">
        <f>IFERROR(VLOOKUP($C12,Спр_Измерения!$A$4:$F$16,2,0),"")</f>
        <v/>
      </c>
      <c r="E12" s="11" t="str">
        <f>IFERROR(VLOOKUP($C12,Спр_Измерения!$A$4:$F$16,3,0),"")</f>
        <v/>
      </c>
      <c r="F12" s="11" t="str">
        <f>IFERROR(VLOOKUP($C12,Спр_Измерения!$A$4:$F$16,4,0),"")</f>
        <v/>
      </c>
      <c r="G12" s="11" t="str">
        <f>IFERROR(VLOOKUP($C12,Спр_Измерения!$A$4:$F$16,5,0),"")</f>
        <v/>
      </c>
      <c r="H12" s="11" t="str">
        <f>IFERROR(VLOOKUP($C12,Спр_Измерения!$A$4:$G$16,6,0),"")</f>
        <v/>
      </c>
      <c r="I12" s="10"/>
      <c r="J12" s="11" t="str">
        <f>IFERROR(VLOOKUP($C12,Спр_Измерения!$A$4:$G$16,7,0),"")</f>
        <v/>
      </c>
      <c r="K12" s="9"/>
    </row>
    <row r="13">
      <c r="A13" s="10"/>
      <c r="B13" s="10"/>
      <c r="C13" s="10"/>
      <c r="D13" s="11" t="str">
        <f>IFERROR(VLOOKUP($C13,Спр_Измерения!$A$4:$F$16,2,0),"")</f>
        <v/>
      </c>
      <c r="E13" s="11" t="str">
        <f>IFERROR(VLOOKUP($C13,Спр_Измерения!$A$4:$F$16,3,0),"")</f>
        <v/>
      </c>
      <c r="F13" s="11" t="str">
        <f>IFERROR(VLOOKUP($C13,Спр_Измерения!$A$4:$F$16,4,0),"")</f>
        <v/>
      </c>
      <c r="G13" s="11" t="str">
        <f>IFERROR(VLOOKUP($C13,Спр_Измерения!$A$4:$F$16,5,0),"")</f>
        <v/>
      </c>
      <c r="H13" s="11" t="str">
        <f>IFERROR(VLOOKUP($C13,Спр_Измерения!$A$4:$G$16,6,0),"")</f>
        <v/>
      </c>
      <c r="I13" s="10"/>
      <c r="J13" s="11" t="str">
        <f>IFERROR(VLOOKUP($C13,Спр_Измерения!$A$4:$G$16,7,0),"")</f>
        <v/>
      </c>
      <c r="K13" s="9"/>
    </row>
    <row r="14">
      <c r="A14" s="10"/>
      <c r="B14" s="10"/>
      <c r="C14" s="10"/>
      <c r="D14" s="11" t="str">
        <f>IFERROR(VLOOKUP($C14,Спр_Измерения!$A$4:$F$16,2,0),"")</f>
        <v/>
      </c>
      <c r="E14" s="11" t="str">
        <f>IFERROR(VLOOKUP($C14,Спр_Измерения!$A$4:$F$16,3,0),"")</f>
        <v/>
      </c>
      <c r="F14" s="11" t="str">
        <f>IFERROR(VLOOKUP($C14,Спр_Измерения!$A$4:$F$16,4,0),"")</f>
        <v/>
      </c>
      <c r="G14" s="11" t="str">
        <f>IFERROR(VLOOKUP($C14,Спр_Измерения!$A$4:$F$16,5,0),"")</f>
        <v/>
      </c>
      <c r="H14" s="11" t="str">
        <f>IFERROR(VLOOKUP($C14,Спр_Измерения!$A$4:$G$16,6,0),"")</f>
        <v/>
      </c>
      <c r="I14" s="10"/>
      <c r="J14" s="11" t="str">
        <f>IFERROR(VLOOKUP($C14,Спр_Измерения!$A$4:$G$16,7,0),"")</f>
        <v/>
      </c>
      <c r="K14" s="9"/>
    </row>
    <row r="15">
      <c r="A15" s="10"/>
      <c r="B15" s="10"/>
      <c r="C15" s="10"/>
      <c r="D15" s="11" t="str">
        <f>IFERROR(VLOOKUP($C15,Спр_Измерения!$A$4:$F$16,2,0),"")</f>
        <v/>
      </c>
      <c r="E15" s="11" t="str">
        <f>IFERROR(VLOOKUP($C15,Спр_Измерения!$A$4:$F$16,3,0),"")</f>
        <v/>
      </c>
      <c r="F15" s="11" t="str">
        <f>IFERROR(VLOOKUP($C15,Спр_Измерения!$A$4:$F$16,4,0),"")</f>
        <v/>
      </c>
      <c r="G15" s="11" t="str">
        <f>IFERROR(VLOOKUP($C15,Спр_Измерения!$A$4:$F$16,5,0),"")</f>
        <v/>
      </c>
      <c r="H15" s="11" t="str">
        <f>IFERROR(VLOOKUP($C15,Спр_Измерения!$A$4:$G$16,6,0),"")</f>
        <v/>
      </c>
      <c r="I15" s="10"/>
      <c r="J15" s="11" t="str">
        <f>IFERROR(VLOOKUP($C15,Спр_Измерения!$A$4:$G$16,7,0),"")</f>
        <v/>
      </c>
      <c r="K15" s="9"/>
    </row>
    <row r="16">
      <c r="A16" s="10"/>
      <c r="B16" s="10"/>
      <c r="C16" s="10"/>
      <c r="D16" s="11" t="str">
        <f>IFERROR(VLOOKUP($C16,Спр_Измерения!$A$4:$F$16,2,0),"")</f>
        <v/>
      </c>
      <c r="E16" s="11" t="str">
        <f>IFERROR(VLOOKUP($C16,Спр_Измерения!$A$4:$F$16,3,0),"")</f>
        <v/>
      </c>
      <c r="F16" s="11" t="str">
        <f>IFERROR(VLOOKUP($C16,Спр_Измерения!$A$4:$F$16,4,0),"")</f>
        <v/>
      </c>
      <c r="G16" s="11" t="str">
        <f>IFERROR(VLOOKUP($C16,Спр_Измерения!$A$4:$F$16,5,0),"")</f>
        <v/>
      </c>
      <c r="H16" s="11" t="str">
        <f>IFERROR(VLOOKUP($C16,Спр_Измерения!$A$4:$G$16,6,0),"")</f>
        <v/>
      </c>
      <c r="I16" s="10"/>
      <c r="J16" s="11" t="str">
        <f>IFERROR(VLOOKUP($C16,Спр_Измерения!$A$4:$G$16,7,0),"")</f>
        <v/>
      </c>
      <c r="K16" s="9"/>
    </row>
    <row r="17">
      <c r="A17" s="10"/>
      <c r="B17" s="10"/>
      <c r="C17" s="10"/>
      <c r="D17" s="11" t="str">
        <f>IFERROR(VLOOKUP($C17,Спр_Измерения!$A$4:$F$16,2,0),"")</f>
        <v/>
      </c>
      <c r="E17" s="11" t="str">
        <f>IFERROR(VLOOKUP($C17,Спр_Измерения!$A$4:$F$16,3,0),"")</f>
        <v/>
      </c>
      <c r="F17" s="11" t="str">
        <f>IFERROR(VLOOKUP($C17,Спр_Измерения!$A$4:$F$16,4,0),"")</f>
        <v/>
      </c>
      <c r="G17" s="11" t="str">
        <f>IFERROR(VLOOKUP($C17,Спр_Измерения!$A$4:$F$16,5,0),"")</f>
        <v/>
      </c>
      <c r="H17" s="11" t="str">
        <f>IFERROR(VLOOKUP($C17,Спр_Измерения!$A$4:$G$16,6,0),"")</f>
        <v/>
      </c>
      <c r="I17" s="10"/>
      <c r="J17" s="11" t="str">
        <f>IFERROR(VLOOKUP($C17,Спр_Измерения!$A$4:$G$16,7,0),"")</f>
        <v/>
      </c>
      <c r="K17" s="9"/>
    </row>
    <row r="18">
      <c r="A18" s="10"/>
      <c r="B18" s="10"/>
      <c r="C18" s="10"/>
      <c r="D18" s="11" t="str">
        <f>IFERROR(VLOOKUP($C18,Спр_Измерения!$A$4:$F$16,2,0),"")</f>
        <v/>
      </c>
      <c r="E18" s="11" t="str">
        <f>IFERROR(VLOOKUP($C18,Спр_Измерения!$A$4:$F$16,3,0),"")</f>
        <v/>
      </c>
      <c r="F18" s="11" t="str">
        <f>IFERROR(VLOOKUP($C18,Спр_Измерения!$A$4:$F$16,4,0),"")</f>
        <v/>
      </c>
      <c r="G18" s="11" t="str">
        <f>IFERROR(VLOOKUP($C18,Спр_Измерения!$A$4:$F$16,5,0),"")</f>
        <v/>
      </c>
      <c r="H18" s="11" t="str">
        <f>IFERROR(VLOOKUP($C18,Спр_Измерения!$A$4:$G$16,6,0),"")</f>
        <v/>
      </c>
      <c r="I18" s="10"/>
      <c r="J18" s="11" t="str">
        <f>IFERROR(VLOOKUP($C18,Спр_Измерения!$A$4:$G$16,7,0),"")</f>
        <v/>
      </c>
      <c r="K18" s="9"/>
    </row>
    <row r="19">
      <c r="A19" s="10"/>
      <c r="B19" s="10"/>
      <c r="C19" s="10"/>
      <c r="D19" s="11" t="str">
        <f>IFERROR(VLOOKUP($C19,Спр_Измерения!$A$4:$F$16,2,0),"")</f>
        <v/>
      </c>
      <c r="E19" s="11" t="str">
        <f>IFERROR(VLOOKUP($C19,Спр_Измерения!$A$4:$F$16,3,0),"")</f>
        <v/>
      </c>
      <c r="F19" s="11" t="str">
        <f>IFERROR(VLOOKUP($C19,Спр_Измерения!$A$4:$F$16,4,0),"")</f>
        <v/>
      </c>
      <c r="G19" s="11" t="str">
        <f>IFERROR(VLOOKUP($C19,Спр_Измерения!$A$4:$F$16,5,0),"")</f>
        <v/>
      </c>
      <c r="H19" s="11" t="str">
        <f>IFERROR(VLOOKUP($C19,Спр_Измерения!$A$4:$G$16,6,0),"")</f>
        <v/>
      </c>
      <c r="I19" s="10"/>
      <c r="J19" s="11" t="str">
        <f>IFERROR(VLOOKUP($C19,Спр_Измерения!$A$4:$G$16,7,0),"")</f>
        <v/>
      </c>
      <c r="K19" s="9"/>
    </row>
    <row r="20">
      <c r="A20" s="10"/>
      <c r="B20" s="10"/>
      <c r="C20" s="10"/>
      <c r="D20" s="11" t="str">
        <f>IFERROR(VLOOKUP($C20,Спр_Измерения!$A$4:$F$16,2,0),"")</f>
        <v/>
      </c>
      <c r="E20" s="11" t="str">
        <f>IFERROR(VLOOKUP($C20,Спр_Измерения!$A$4:$F$16,3,0),"")</f>
        <v/>
      </c>
      <c r="F20" s="11" t="str">
        <f>IFERROR(VLOOKUP($C20,Спр_Измерения!$A$4:$F$16,4,0),"")</f>
        <v/>
      </c>
      <c r="G20" s="11" t="str">
        <f>IFERROR(VLOOKUP($C20,Спр_Измерения!$A$4:$F$16,5,0),"")</f>
        <v/>
      </c>
      <c r="H20" s="11" t="str">
        <f>IFERROR(VLOOKUP($C20,Спр_Измерения!$A$4:$G$16,6,0),"")</f>
        <v/>
      </c>
      <c r="I20" s="10"/>
      <c r="J20" s="11" t="str">
        <f>IFERROR(VLOOKUP($C20,Спр_Измерения!$A$4:$G$16,7,0),"")</f>
        <v/>
      </c>
      <c r="K20" s="9"/>
    </row>
    <row r="21">
      <c r="A21" s="10"/>
      <c r="B21" s="10"/>
      <c r="C21" s="10"/>
      <c r="D21" s="11" t="str">
        <f>IFERROR(VLOOKUP($C21,Спр_Измерения!$A$4:$F$16,2,0),"")</f>
        <v/>
      </c>
      <c r="E21" s="11" t="str">
        <f>IFERROR(VLOOKUP($C21,Спр_Измерения!$A$4:$F$16,3,0),"")</f>
        <v/>
      </c>
      <c r="F21" s="11" t="str">
        <f>IFERROR(VLOOKUP($C21,Спр_Измерения!$A$4:$F$16,4,0),"")</f>
        <v/>
      </c>
      <c r="G21" s="11" t="str">
        <f>IFERROR(VLOOKUP($C21,Спр_Измерения!$A$4:$F$16,5,0),"")</f>
        <v/>
      </c>
      <c r="H21" s="11" t="str">
        <f>IFERROR(VLOOKUP($C21,Спр_Измерения!$A$4:$G$16,6,0),"")</f>
        <v/>
      </c>
      <c r="I21" s="10"/>
      <c r="J21" s="11" t="str">
        <f>IFERROR(VLOOKUP($C21,Спр_Измерения!$A$4:$G$16,7,0),"")</f>
        <v/>
      </c>
      <c r="K21" s="9"/>
    </row>
    <row r="22">
      <c r="A22" s="10"/>
      <c r="B22" s="10"/>
      <c r="C22" s="10"/>
      <c r="D22" s="11" t="str">
        <f>IFERROR(VLOOKUP($C22,Спр_Измерения!$A$4:$F$16,2,0),"")</f>
        <v/>
      </c>
      <c r="E22" s="11" t="str">
        <f>IFERROR(VLOOKUP($C22,Спр_Измерения!$A$4:$F$16,3,0),"")</f>
        <v/>
      </c>
      <c r="F22" s="11" t="str">
        <f>IFERROR(VLOOKUP($C22,Спр_Измерения!$A$4:$F$16,4,0),"")</f>
        <v/>
      </c>
      <c r="G22" s="11" t="str">
        <f>IFERROR(VLOOKUP($C22,Спр_Измерения!$A$4:$F$16,5,0),"")</f>
        <v/>
      </c>
      <c r="H22" s="11" t="str">
        <f>IFERROR(VLOOKUP($C22,Спр_Измерения!$A$4:$G$16,6,0),"")</f>
        <v/>
      </c>
      <c r="I22" s="10"/>
      <c r="J22" s="11" t="str">
        <f>IFERROR(VLOOKUP($C22,Спр_Измерения!$A$4:$G$16,7,0),"")</f>
        <v/>
      </c>
      <c r="K22" s="9"/>
    </row>
    <row r="23">
      <c r="A23" s="10"/>
      <c r="B23" s="10"/>
      <c r="C23" s="10"/>
      <c r="D23" s="11" t="str">
        <f>IFERROR(VLOOKUP($C23,Спр_Измерения!$A$4:$F$16,2,0),"")</f>
        <v/>
      </c>
      <c r="E23" s="11" t="str">
        <f>IFERROR(VLOOKUP($C23,Спр_Измерения!$A$4:$F$16,3,0),"")</f>
        <v/>
      </c>
      <c r="F23" s="11" t="str">
        <f>IFERROR(VLOOKUP($C23,Спр_Измерения!$A$4:$F$16,4,0),"")</f>
        <v/>
      </c>
      <c r="G23" s="11" t="str">
        <f>IFERROR(VLOOKUP($C23,Спр_Измерения!$A$4:$F$16,5,0),"")</f>
        <v/>
      </c>
      <c r="H23" s="11" t="str">
        <f>IFERROR(VLOOKUP($C23,Спр_Измерения!$A$4:$G$16,6,0),"")</f>
        <v/>
      </c>
      <c r="I23" s="10"/>
      <c r="J23" s="11" t="str">
        <f>IFERROR(VLOOKUP($C23,Спр_Измерения!$A$4:$G$16,7,0),"")</f>
        <v/>
      </c>
      <c r="K23" s="9"/>
    </row>
    <row r="24">
      <c r="A24" s="10"/>
      <c r="B24" s="10"/>
      <c r="C24" s="10"/>
      <c r="D24" s="11" t="str">
        <f>IFERROR(VLOOKUP($C24,Спр_Измерения!$A$4:$F$16,2,0),"")</f>
        <v/>
      </c>
      <c r="E24" s="11" t="str">
        <f>IFERROR(VLOOKUP($C24,Спр_Измерения!$A$4:$F$16,3,0),"")</f>
        <v/>
      </c>
      <c r="F24" s="11" t="str">
        <f>IFERROR(VLOOKUP($C24,Спр_Измерения!$A$4:$F$16,4,0),"")</f>
        <v/>
      </c>
      <c r="G24" s="11" t="str">
        <f>IFERROR(VLOOKUP($C24,Спр_Измерения!$A$4:$F$16,5,0),"")</f>
        <v/>
      </c>
      <c r="H24" s="11" t="str">
        <f>IFERROR(VLOOKUP($C24,Спр_Измерения!$A$4:$G$16,6,0),"")</f>
        <v/>
      </c>
      <c r="I24" s="10"/>
      <c r="J24" s="11" t="str">
        <f>IFERROR(VLOOKUP($C24,Спр_Измерения!$A$4:$G$16,7,0),"")</f>
        <v/>
      </c>
      <c r="K24" s="9"/>
    </row>
    <row r="25">
      <c r="A25" s="10"/>
      <c r="B25" s="10"/>
      <c r="C25" s="10"/>
      <c r="D25" s="11" t="str">
        <f>IFERROR(VLOOKUP($C25,Спр_Измерения!$A$4:$F$16,2,0),"")</f>
        <v/>
      </c>
      <c r="E25" s="11" t="str">
        <f>IFERROR(VLOOKUP($C25,Спр_Измерения!$A$4:$F$16,3,0),"")</f>
        <v/>
      </c>
      <c r="F25" s="11" t="str">
        <f>IFERROR(VLOOKUP($C25,Спр_Измерения!$A$4:$F$16,4,0),"")</f>
        <v/>
      </c>
      <c r="G25" s="11" t="str">
        <f>IFERROR(VLOOKUP($C25,Спр_Измерения!$A$4:$F$16,5,0),"")</f>
        <v/>
      </c>
      <c r="H25" s="11" t="str">
        <f>IFERROR(VLOOKUP($C25,Спр_Измерения!$A$4:$G$16,6,0),"")</f>
        <v/>
      </c>
      <c r="I25" s="10"/>
      <c r="J25" s="11" t="str">
        <f>IFERROR(VLOOKUP($C25,Спр_Измерения!$A$4:$G$16,7,0),"")</f>
        <v/>
      </c>
      <c r="K25" s="9"/>
    </row>
    <row r="26">
      <c r="A26" s="10"/>
      <c r="B26" s="10"/>
      <c r="C26" s="10"/>
      <c r="D26" s="11" t="str">
        <f>IFERROR(VLOOKUP($C26,Спр_Измерения!$A$4:$F$16,2,0),"")</f>
        <v/>
      </c>
      <c r="E26" s="11" t="str">
        <f>IFERROR(VLOOKUP($C26,Спр_Измерения!$A$4:$F$16,3,0),"")</f>
        <v/>
      </c>
      <c r="F26" s="11" t="str">
        <f>IFERROR(VLOOKUP($C26,Спр_Измерения!$A$4:$F$16,4,0),"")</f>
        <v/>
      </c>
      <c r="G26" s="11" t="str">
        <f>IFERROR(VLOOKUP($C26,Спр_Измерения!$A$4:$F$16,5,0),"")</f>
        <v/>
      </c>
      <c r="H26" s="11" t="str">
        <f>IFERROR(VLOOKUP($C26,Спр_Измерения!$A$4:$G$16,6,0),"")</f>
        <v/>
      </c>
      <c r="I26" s="10"/>
      <c r="J26" s="11" t="str">
        <f>IFERROR(VLOOKUP($C26,Спр_Измерения!$A$4:$G$16,7,0),"")</f>
        <v/>
      </c>
      <c r="K26" s="9"/>
    </row>
    <row r="27">
      <c r="A27" s="10"/>
      <c r="B27" s="10"/>
      <c r="C27" s="10"/>
      <c r="D27" s="11" t="str">
        <f>IFERROR(VLOOKUP($C27,Спр_Измерения!$A$4:$F$16,2,0),"")</f>
        <v/>
      </c>
      <c r="E27" s="11" t="str">
        <f>IFERROR(VLOOKUP($C27,Спр_Измерения!$A$4:$F$16,3,0),"")</f>
        <v/>
      </c>
      <c r="F27" s="11" t="str">
        <f>IFERROR(VLOOKUP($C27,Спр_Измерения!$A$4:$F$16,4,0),"")</f>
        <v/>
      </c>
      <c r="G27" s="11" t="str">
        <f>IFERROR(VLOOKUP($C27,Спр_Измерения!$A$4:$F$16,5,0),"")</f>
        <v/>
      </c>
      <c r="H27" s="11" t="str">
        <f>IFERROR(VLOOKUP($C27,Спр_Измерения!$A$4:$G$16,6,0),"")</f>
        <v/>
      </c>
      <c r="I27" s="10"/>
      <c r="J27" s="11" t="str">
        <f>IFERROR(VLOOKUP($C27,Спр_Измерения!$A$4:$G$16,7,0),"")</f>
        <v/>
      </c>
      <c r="K27" s="9"/>
    </row>
    <row r="28">
      <c r="A28" s="10"/>
      <c r="B28" s="10"/>
      <c r="C28" s="10"/>
      <c r="D28" s="11" t="str">
        <f>IFERROR(VLOOKUP($C28,Спр_Измерения!$A$4:$F$16,2,0),"")</f>
        <v/>
      </c>
      <c r="E28" s="11" t="str">
        <f>IFERROR(VLOOKUP($C28,Спр_Измерения!$A$4:$F$16,3,0),"")</f>
        <v/>
      </c>
      <c r="F28" s="11" t="str">
        <f>IFERROR(VLOOKUP($C28,Спр_Измерения!$A$4:$F$16,4,0),"")</f>
        <v/>
      </c>
      <c r="G28" s="11" t="str">
        <f>IFERROR(VLOOKUP($C28,Спр_Измерения!$A$4:$F$16,5,0),"")</f>
        <v/>
      </c>
      <c r="H28" s="11" t="str">
        <f>IFERROR(VLOOKUP($C28,Спр_Измерения!$A$4:$G$16,6,0),"")</f>
        <v/>
      </c>
      <c r="I28" s="10"/>
      <c r="J28" s="11" t="str">
        <f>IFERROR(VLOOKUP($C28,Спр_Измерения!$A$4:$G$16,7,0),"")</f>
        <v/>
      </c>
      <c r="K28" s="9"/>
    </row>
    <row r="29">
      <c r="A29" s="10"/>
      <c r="B29" s="10"/>
      <c r="C29" s="10"/>
      <c r="D29" s="11" t="str">
        <f>IFERROR(VLOOKUP($C29,Спр_Измерения!$A$4:$F$16,2,0),"")</f>
        <v/>
      </c>
      <c r="E29" s="11" t="str">
        <f>IFERROR(VLOOKUP($C29,Спр_Измерения!$A$4:$F$16,3,0),"")</f>
        <v/>
      </c>
      <c r="F29" s="11" t="str">
        <f>IFERROR(VLOOKUP($C29,Спр_Измерения!$A$4:$F$16,4,0),"")</f>
        <v/>
      </c>
      <c r="G29" s="11" t="str">
        <f>IFERROR(VLOOKUP($C29,Спр_Измерения!$A$4:$F$16,5,0),"")</f>
        <v/>
      </c>
      <c r="H29" s="11" t="str">
        <f>IFERROR(VLOOKUP($C29,Спр_Измерения!$A$4:$G$16,6,0),"")</f>
        <v/>
      </c>
      <c r="I29" s="10"/>
      <c r="J29" s="11" t="str">
        <f>IFERROR(VLOOKUP($C29,Спр_Измерения!$A$4:$G$16,7,0),"")</f>
        <v/>
      </c>
      <c r="K29" s="9"/>
    </row>
    <row r="30">
      <c r="A30" s="10"/>
      <c r="B30" s="10"/>
      <c r="C30" s="10"/>
      <c r="D30" s="11" t="str">
        <f>IFERROR(VLOOKUP($C30,Спр_Измерения!$A$4:$F$16,2,0),"")</f>
        <v/>
      </c>
      <c r="E30" s="11" t="str">
        <f>IFERROR(VLOOKUP($C30,Спр_Измерения!$A$4:$F$16,3,0),"")</f>
        <v/>
      </c>
      <c r="F30" s="11" t="str">
        <f>IFERROR(VLOOKUP($C30,Спр_Измерения!$A$4:$F$16,4,0),"")</f>
        <v/>
      </c>
      <c r="G30" s="11" t="str">
        <f>IFERROR(VLOOKUP($C30,Спр_Измерения!$A$4:$F$16,5,0),"")</f>
        <v/>
      </c>
      <c r="H30" s="11" t="str">
        <f>IFERROR(VLOOKUP($C30,Спр_Измерения!$A$4:$G$16,6,0),"")</f>
        <v/>
      </c>
      <c r="I30" s="10"/>
      <c r="J30" s="11" t="str">
        <f>IFERROR(VLOOKUP($C30,Спр_Измерения!$A$4:$G$16,7,0),"")</f>
        <v/>
      </c>
      <c r="K30" s="9"/>
    </row>
    <row r="31">
      <c r="A31" s="10"/>
      <c r="B31" s="10"/>
      <c r="C31" s="10"/>
      <c r="D31" s="11" t="str">
        <f>IFERROR(VLOOKUP($C31,Спр_Измерения!$A$4:$F$16,2,0),"")</f>
        <v/>
      </c>
      <c r="E31" s="11" t="str">
        <f>IFERROR(VLOOKUP($C31,Спр_Измерения!$A$4:$F$16,3,0),"")</f>
        <v/>
      </c>
      <c r="F31" s="11" t="str">
        <f>IFERROR(VLOOKUP($C31,Спр_Измерения!$A$4:$F$16,4,0),"")</f>
        <v/>
      </c>
      <c r="G31" s="11" t="str">
        <f>IFERROR(VLOOKUP($C31,Спр_Измерения!$A$4:$F$16,5,0),"")</f>
        <v/>
      </c>
      <c r="H31" s="11" t="str">
        <f>IFERROR(VLOOKUP($C31,Спр_Измерения!$A$4:$G$16,6,0),"")</f>
        <v/>
      </c>
      <c r="I31" s="10"/>
      <c r="J31" s="11" t="str">
        <f>IFERROR(VLOOKUP($C31,Спр_Измерения!$A$4:$G$16,7,0),"")</f>
        <v/>
      </c>
      <c r="K31" s="9"/>
    </row>
    <row r="32">
      <c r="A32" s="10"/>
      <c r="B32" s="10"/>
      <c r="C32" s="10"/>
      <c r="D32" s="11" t="str">
        <f>IFERROR(VLOOKUP($C32,Спр_Измерения!$A$4:$F$16,2,0),"")</f>
        <v/>
      </c>
      <c r="E32" s="11" t="str">
        <f>IFERROR(VLOOKUP($C32,Спр_Измерения!$A$4:$F$16,3,0),"")</f>
        <v/>
      </c>
      <c r="F32" s="11" t="str">
        <f>IFERROR(VLOOKUP($C32,Спр_Измерения!$A$4:$F$16,4,0),"")</f>
        <v/>
      </c>
      <c r="G32" s="11" t="str">
        <f>IFERROR(VLOOKUP($C32,Спр_Измерения!$A$4:$F$16,5,0),"")</f>
        <v/>
      </c>
      <c r="H32" s="11" t="str">
        <f>IFERROR(VLOOKUP($C32,Спр_Измерения!$A$4:$G$16,6,0),"")</f>
        <v/>
      </c>
      <c r="I32" s="10"/>
      <c r="J32" s="11" t="str">
        <f>IFERROR(VLOOKUP($C32,Спр_Измерения!$A$4:$G$16,7,0),"")</f>
        <v/>
      </c>
      <c r="K32" s="9"/>
    </row>
    <row r="33">
      <c r="A33" s="10"/>
      <c r="B33" s="10"/>
      <c r="C33" s="10"/>
      <c r="D33" s="11" t="str">
        <f>IFERROR(VLOOKUP($C33,Спр_Измерения!$A$4:$F$16,2,0),"")</f>
        <v/>
      </c>
      <c r="E33" s="11" t="str">
        <f>IFERROR(VLOOKUP($C33,Спр_Измерения!$A$4:$F$16,3,0),"")</f>
        <v/>
      </c>
      <c r="F33" s="11" t="str">
        <f>IFERROR(VLOOKUP($C33,Спр_Измерения!$A$4:$F$16,4,0),"")</f>
        <v/>
      </c>
      <c r="G33" s="11" t="str">
        <f>IFERROR(VLOOKUP($C33,Спр_Измерения!$A$4:$F$16,5,0),"")</f>
        <v/>
      </c>
      <c r="H33" s="11" t="str">
        <f>IFERROR(VLOOKUP($C33,Спр_Измерения!$A$4:$G$16,6,0),"")</f>
        <v/>
      </c>
      <c r="I33" s="10"/>
      <c r="J33" s="11" t="str">
        <f>IFERROR(VLOOKUP($C33,Спр_Измерения!$A$4:$G$16,7,0),"")</f>
        <v/>
      </c>
      <c r="K33" s="9"/>
    </row>
    <row r="34">
      <c r="A34" s="10"/>
      <c r="B34" s="10"/>
      <c r="C34" s="10"/>
      <c r="D34" s="11" t="str">
        <f>IFERROR(VLOOKUP($C34,Спр_Измерения!$A$4:$F$16,2,0),"")</f>
        <v/>
      </c>
      <c r="E34" s="11" t="str">
        <f>IFERROR(VLOOKUP($C34,Спр_Измерения!$A$4:$F$16,3,0),"")</f>
        <v/>
      </c>
      <c r="F34" s="11" t="str">
        <f>IFERROR(VLOOKUP($C34,Спр_Измерения!$A$4:$F$16,4,0),"")</f>
        <v/>
      </c>
      <c r="G34" s="11" t="str">
        <f>IFERROR(VLOOKUP($C34,Спр_Измерения!$A$4:$F$16,5,0),"")</f>
        <v/>
      </c>
      <c r="H34" s="11" t="str">
        <f>IFERROR(VLOOKUP($C34,Спр_Измерения!$A$4:$G$16,6,0),"")</f>
        <v/>
      </c>
      <c r="I34" s="10"/>
      <c r="J34" s="11" t="str">
        <f>IFERROR(VLOOKUP($C34,Спр_Измерения!$A$4:$G$16,7,0),"")</f>
        <v/>
      </c>
      <c r="K34" s="9"/>
    </row>
    <row r="35">
      <c r="A35" s="10"/>
      <c r="B35" s="10"/>
      <c r="C35" s="10"/>
      <c r="D35" s="11" t="str">
        <f>IFERROR(VLOOKUP($C35,Спр_Измерения!$A$4:$F$16,2,0),"")</f>
        <v/>
      </c>
      <c r="E35" s="11" t="str">
        <f>IFERROR(VLOOKUP($C35,Спр_Измерения!$A$4:$F$16,3,0),"")</f>
        <v/>
      </c>
      <c r="F35" s="11" t="str">
        <f>IFERROR(VLOOKUP($C35,Спр_Измерения!$A$4:$F$16,4,0),"")</f>
        <v/>
      </c>
      <c r="G35" s="11" t="str">
        <f>IFERROR(VLOOKUP($C35,Спр_Измерения!$A$4:$F$16,5,0),"")</f>
        <v/>
      </c>
      <c r="H35" s="11" t="str">
        <f>IFERROR(VLOOKUP($C35,Спр_Измерения!$A$4:$G$16,6,0),"")</f>
        <v/>
      </c>
      <c r="I35" s="10"/>
      <c r="J35" s="11" t="str">
        <f>IFERROR(VLOOKUP($C35,Спр_Измерения!$A$4:$G$16,7,0),"")</f>
        <v/>
      </c>
      <c r="K35" s="9"/>
    </row>
    <row r="36">
      <c r="A36" s="10"/>
      <c r="B36" s="10"/>
      <c r="C36" s="10"/>
      <c r="D36" s="11" t="str">
        <f>IFERROR(VLOOKUP($C36,Спр_Измерения!$A$4:$F$16,2,0),"")</f>
        <v/>
      </c>
      <c r="E36" s="11" t="str">
        <f>IFERROR(VLOOKUP($C36,Спр_Измерения!$A$4:$F$16,3,0),"")</f>
        <v/>
      </c>
      <c r="F36" s="11" t="str">
        <f>IFERROR(VLOOKUP($C36,Спр_Измерения!$A$4:$F$16,4,0),"")</f>
        <v/>
      </c>
      <c r="G36" s="11" t="str">
        <f>IFERROR(VLOOKUP($C36,Спр_Измерения!$A$4:$F$16,5,0),"")</f>
        <v/>
      </c>
      <c r="H36" s="11" t="str">
        <f>IFERROR(VLOOKUP($C36,Спр_Измерения!$A$4:$G$16,6,0),"")</f>
        <v/>
      </c>
      <c r="I36" s="10"/>
      <c r="J36" s="11" t="str">
        <f>IFERROR(VLOOKUP($C36,Спр_Измерения!$A$4:$G$16,7,0),"")</f>
        <v/>
      </c>
      <c r="K36" s="9"/>
    </row>
    <row r="37">
      <c r="A37" s="10"/>
      <c r="B37" s="10"/>
      <c r="C37" s="10"/>
      <c r="D37" s="11" t="str">
        <f>IFERROR(VLOOKUP($C37,Спр_Измерения!$A$4:$F$16,2,0),"")</f>
        <v/>
      </c>
      <c r="E37" s="11" t="str">
        <f>IFERROR(VLOOKUP($C37,Спр_Измерения!$A$4:$F$16,3,0),"")</f>
        <v/>
      </c>
      <c r="F37" s="11" t="str">
        <f>IFERROR(VLOOKUP($C37,Спр_Измерения!$A$4:$F$16,4,0),"")</f>
        <v/>
      </c>
      <c r="G37" s="11" t="str">
        <f>IFERROR(VLOOKUP($C37,Спр_Измерения!$A$4:$F$16,5,0),"")</f>
        <v/>
      </c>
      <c r="H37" s="11" t="str">
        <f>IFERROR(VLOOKUP($C37,Спр_Измерения!$A$4:$G$16,6,0),"")</f>
        <v/>
      </c>
      <c r="I37" s="10"/>
      <c r="J37" s="11" t="str">
        <f>IFERROR(VLOOKUP($C37,Спр_Измерения!$A$4:$G$16,7,0),"")</f>
        <v/>
      </c>
      <c r="K37" s="9"/>
    </row>
    <row r="38">
      <c r="A38" s="10"/>
      <c r="B38" s="10"/>
      <c r="C38" s="10"/>
      <c r="D38" s="11" t="str">
        <f>IFERROR(VLOOKUP($C38,Спр_Измерения!$A$4:$F$16,2,0),"")</f>
        <v/>
      </c>
      <c r="E38" s="11" t="str">
        <f>IFERROR(VLOOKUP($C38,Спр_Измерения!$A$4:$F$16,3,0),"")</f>
        <v/>
      </c>
      <c r="F38" s="11" t="str">
        <f>IFERROR(VLOOKUP($C38,Спр_Измерения!$A$4:$F$16,4,0),"")</f>
        <v/>
      </c>
      <c r="G38" s="11" t="str">
        <f>IFERROR(VLOOKUP($C38,Спр_Измерения!$A$4:$F$16,5,0),"")</f>
        <v/>
      </c>
      <c r="H38" s="11" t="str">
        <f>IFERROR(VLOOKUP($C38,Спр_Измерения!$A$4:$G$16,6,0),"")</f>
        <v/>
      </c>
      <c r="I38" s="10"/>
      <c r="J38" s="11" t="str">
        <f>IFERROR(VLOOKUP($C38,Спр_Измерения!$A$4:$G$16,7,0),"")</f>
        <v/>
      </c>
      <c r="K38" s="9"/>
    </row>
    <row r="39">
      <c r="A39" s="10"/>
      <c r="B39" s="10"/>
      <c r="C39" s="10"/>
      <c r="D39" s="11" t="str">
        <f>IFERROR(VLOOKUP($C39,Спр_Измерения!$A$4:$F$16,2,0),"")</f>
        <v/>
      </c>
      <c r="E39" s="11" t="str">
        <f>IFERROR(VLOOKUP($C39,Спр_Измерения!$A$4:$F$16,3,0),"")</f>
        <v/>
      </c>
      <c r="F39" s="11" t="str">
        <f>IFERROR(VLOOKUP($C39,Спр_Измерения!$A$4:$F$16,4,0),"")</f>
        <v/>
      </c>
      <c r="G39" s="11" t="str">
        <f>IFERROR(VLOOKUP($C39,Спр_Измерения!$A$4:$F$16,5,0),"")</f>
        <v/>
      </c>
      <c r="H39" s="11" t="str">
        <f>IFERROR(VLOOKUP($C39,Спр_Измерения!$A$4:$G$16,6,0),"")</f>
        <v/>
      </c>
      <c r="I39" s="10"/>
      <c r="J39" s="11" t="str">
        <f>IFERROR(VLOOKUP($C39,Спр_Измерения!$A$4:$G$16,7,0),"")</f>
        <v/>
      </c>
      <c r="K39" s="9"/>
    </row>
    <row r="40">
      <c r="A40" s="10"/>
      <c r="B40" s="10"/>
      <c r="C40" s="10"/>
      <c r="D40" s="11" t="str">
        <f>IFERROR(VLOOKUP($C40,Спр_Измерения!$A$4:$F$16,2,0),"")</f>
        <v/>
      </c>
      <c r="E40" s="11" t="str">
        <f>IFERROR(VLOOKUP($C40,Спр_Измерения!$A$4:$F$16,3,0),"")</f>
        <v/>
      </c>
      <c r="F40" s="11" t="str">
        <f>IFERROR(VLOOKUP($C40,Спр_Измерения!$A$4:$F$16,4,0),"")</f>
        <v/>
      </c>
      <c r="G40" s="11" t="str">
        <f>IFERROR(VLOOKUP($C40,Спр_Измерения!$A$4:$F$16,5,0),"")</f>
        <v/>
      </c>
      <c r="H40" s="11" t="str">
        <f>IFERROR(VLOOKUP($C40,Спр_Измерения!$A$4:$G$16,6,0),"")</f>
        <v/>
      </c>
      <c r="I40" s="10"/>
      <c r="J40" s="11" t="str">
        <f>IFERROR(VLOOKUP($C40,Спр_Измерения!$A$4:$G$16,7,0),"")</f>
        <v/>
      </c>
      <c r="K40" s="9"/>
    </row>
    <row r="41">
      <c r="A41" s="10"/>
      <c r="B41" s="10"/>
      <c r="C41" s="10"/>
      <c r="D41" s="11" t="str">
        <f>IFERROR(VLOOKUP($C41,Спр_Измерения!$A$4:$F$16,2,0),"")</f>
        <v/>
      </c>
      <c r="E41" s="11" t="str">
        <f>IFERROR(VLOOKUP($C41,Спр_Измерения!$A$4:$F$16,3,0),"")</f>
        <v/>
      </c>
      <c r="F41" s="11" t="str">
        <f>IFERROR(VLOOKUP($C41,Спр_Измерения!$A$4:$F$16,4,0),"")</f>
        <v/>
      </c>
      <c r="G41" s="11" t="str">
        <f>IFERROR(VLOOKUP($C41,Спр_Измерения!$A$4:$F$16,5,0),"")</f>
        <v/>
      </c>
      <c r="H41" s="11" t="str">
        <f>IFERROR(VLOOKUP($C41,Спр_Измерения!$A$4:$G$16,6,0),"")</f>
        <v/>
      </c>
      <c r="I41" s="10"/>
      <c r="J41" s="11" t="str">
        <f>IFERROR(VLOOKUP($C41,Спр_Измерения!$A$4:$G$16,7,0),"")</f>
        <v/>
      </c>
      <c r="K41" s="9"/>
    </row>
    <row r="42">
      <c r="A42" s="10"/>
      <c r="B42" s="10"/>
      <c r="C42" s="10"/>
      <c r="D42" s="11" t="str">
        <f>IFERROR(VLOOKUP($C42,Спр_Измерения!$A$4:$F$16,2,0),"")</f>
        <v/>
      </c>
      <c r="E42" s="11" t="str">
        <f>IFERROR(VLOOKUP($C42,Спр_Измерения!$A$4:$F$16,3,0),"")</f>
        <v/>
      </c>
      <c r="F42" s="11" t="str">
        <f>IFERROR(VLOOKUP($C42,Спр_Измерения!$A$4:$F$16,4,0),"")</f>
        <v/>
      </c>
      <c r="G42" s="11" t="str">
        <f>IFERROR(VLOOKUP($C42,Спр_Измерения!$A$4:$F$16,5,0),"")</f>
        <v/>
      </c>
      <c r="H42" s="11" t="str">
        <f>IFERROR(VLOOKUP($C42,Спр_Измерения!$A$4:$G$16,6,0),"")</f>
        <v/>
      </c>
      <c r="I42" s="10"/>
      <c r="J42" s="11" t="str">
        <f>IFERROR(VLOOKUP($C42,Спр_Измерения!$A$4:$G$16,7,0),"")</f>
        <v/>
      </c>
      <c r="K42" s="9"/>
    </row>
    <row r="43">
      <c r="A43" s="10"/>
      <c r="B43" s="10"/>
      <c r="C43" s="10"/>
      <c r="D43" s="11" t="str">
        <f>IFERROR(VLOOKUP($C43,Спр_Измерения!$A$4:$F$16,2,0),"")</f>
        <v/>
      </c>
      <c r="E43" s="11" t="str">
        <f>IFERROR(VLOOKUP($C43,Спр_Измерения!$A$4:$F$16,3,0),"")</f>
        <v/>
      </c>
      <c r="F43" s="11" t="str">
        <f>IFERROR(VLOOKUP($C43,Спр_Измерения!$A$4:$F$16,4,0),"")</f>
        <v/>
      </c>
      <c r="G43" s="11" t="str">
        <f>IFERROR(VLOOKUP($C43,Спр_Измерения!$A$4:$F$16,5,0),"")</f>
        <v/>
      </c>
      <c r="H43" s="11" t="str">
        <f>IFERROR(VLOOKUP($C43,Спр_Измерения!$A$4:$G$16,6,0),"")</f>
        <v/>
      </c>
      <c r="I43" s="10"/>
      <c r="J43" s="11" t="str">
        <f>IFERROR(VLOOKUP($C43,Спр_Измерения!$A$4:$G$16,7,0),"")</f>
        <v/>
      </c>
      <c r="K43" s="9"/>
    </row>
    <row r="44">
      <c r="A44" s="10"/>
      <c r="B44" s="10"/>
      <c r="C44" s="10"/>
      <c r="D44" s="11" t="str">
        <f>IFERROR(VLOOKUP($C44,Спр_Измерения!$A$4:$F$16,2,0),"")</f>
        <v/>
      </c>
      <c r="E44" s="11" t="str">
        <f>IFERROR(VLOOKUP($C44,Спр_Измерения!$A$4:$F$16,3,0),"")</f>
        <v/>
      </c>
      <c r="F44" s="11" t="str">
        <f>IFERROR(VLOOKUP($C44,Спр_Измерения!$A$4:$F$16,4,0),"")</f>
        <v/>
      </c>
      <c r="G44" s="11" t="str">
        <f>IFERROR(VLOOKUP($C44,Спр_Измерения!$A$4:$F$16,5,0),"")</f>
        <v/>
      </c>
      <c r="H44" s="11" t="str">
        <f>IFERROR(VLOOKUP($C44,Спр_Измерения!$A$4:$G$16,6,0),"")</f>
        <v/>
      </c>
      <c r="I44" s="10"/>
      <c r="J44" s="11" t="str">
        <f>IFERROR(VLOOKUP($C44,Спр_Измерения!$A$4:$G$16,7,0),"")</f>
        <v/>
      </c>
      <c r="K44" s="9"/>
    </row>
    <row r="45">
      <c r="A45" s="10"/>
      <c r="B45" s="10"/>
      <c r="C45" s="10"/>
      <c r="D45" s="11" t="str">
        <f>IFERROR(VLOOKUP($C45,Спр_Измерения!$A$4:$F$16,2,0),"")</f>
        <v/>
      </c>
      <c r="E45" s="11" t="str">
        <f>IFERROR(VLOOKUP($C45,Спр_Измерения!$A$4:$F$16,3,0),"")</f>
        <v/>
      </c>
      <c r="F45" s="11" t="str">
        <f>IFERROR(VLOOKUP($C45,Спр_Измерения!$A$4:$F$16,4,0),"")</f>
        <v/>
      </c>
      <c r="G45" s="11" t="str">
        <f>IFERROR(VLOOKUP($C45,Спр_Измерения!$A$4:$F$16,5,0),"")</f>
        <v/>
      </c>
      <c r="H45" s="11" t="str">
        <f>IFERROR(VLOOKUP($C45,Спр_Измерения!$A$4:$G$16,6,0),"")</f>
        <v/>
      </c>
      <c r="I45" s="10"/>
      <c r="J45" s="11" t="str">
        <f>IFERROR(VLOOKUP($C45,Спр_Измерения!$A$4:$G$16,7,0),"")</f>
        <v/>
      </c>
      <c r="K45" s="9"/>
    </row>
    <row r="46">
      <c r="A46" s="10"/>
      <c r="B46" s="10"/>
      <c r="C46" s="10"/>
      <c r="D46" s="11" t="str">
        <f>IFERROR(VLOOKUP($C46,Спр_Измерения!$A$4:$F$16,2,0),"")</f>
        <v/>
      </c>
      <c r="E46" s="11" t="str">
        <f>IFERROR(VLOOKUP($C46,Спр_Измерения!$A$4:$F$16,3,0),"")</f>
        <v/>
      </c>
      <c r="F46" s="11" t="str">
        <f>IFERROR(VLOOKUP($C46,Спр_Измерения!$A$4:$F$16,4,0),"")</f>
        <v/>
      </c>
      <c r="G46" s="11" t="str">
        <f>IFERROR(VLOOKUP($C46,Спр_Измерения!$A$4:$F$16,5,0),"")</f>
        <v/>
      </c>
      <c r="H46" s="11" t="str">
        <f>IFERROR(VLOOKUP($C46,Спр_Измерения!$A$4:$G$16,6,0),"")</f>
        <v/>
      </c>
      <c r="I46" s="10"/>
      <c r="J46" s="11" t="str">
        <f>IFERROR(VLOOKUP($C46,Спр_Измерения!$A$4:$G$16,7,0),"")</f>
        <v/>
      </c>
      <c r="K46" s="9"/>
    </row>
    <row r="47">
      <c r="A47" s="10"/>
      <c r="B47" s="10"/>
      <c r="C47" s="10"/>
      <c r="D47" s="11" t="str">
        <f>IFERROR(VLOOKUP($C47,Спр_Измерения!$A$4:$F$16,2,0),"")</f>
        <v/>
      </c>
      <c r="E47" s="11" t="str">
        <f>IFERROR(VLOOKUP($C47,Спр_Измерения!$A$4:$F$16,3,0),"")</f>
        <v/>
      </c>
      <c r="F47" s="11" t="str">
        <f>IFERROR(VLOOKUP($C47,Спр_Измерения!$A$4:$F$16,4,0),"")</f>
        <v/>
      </c>
      <c r="G47" s="11" t="str">
        <f>IFERROR(VLOOKUP($C47,Спр_Измерения!$A$4:$F$16,5,0),"")</f>
        <v/>
      </c>
      <c r="H47" s="11" t="str">
        <f>IFERROR(VLOOKUP($C47,Спр_Измерения!$A$4:$G$16,6,0),"")</f>
        <v/>
      </c>
      <c r="I47" s="10"/>
      <c r="J47" s="11" t="str">
        <f>IFERROR(VLOOKUP($C47,Спр_Измерения!$A$4:$G$16,7,0),"")</f>
        <v/>
      </c>
      <c r="K47" s="9"/>
    </row>
    <row r="48">
      <c r="A48" s="10"/>
      <c r="B48" s="10"/>
      <c r="C48" s="10"/>
      <c r="D48" s="11" t="str">
        <f>IFERROR(VLOOKUP($C48,Спр_Измерения!$A$4:$F$16,2,0),"")</f>
        <v/>
      </c>
      <c r="E48" s="11" t="str">
        <f>IFERROR(VLOOKUP($C48,Спр_Измерения!$A$4:$F$16,3,0),"")</f>
        <v/>
      </c>
      <c r="F48" s="11" t="str">
        <f>IFERROR(VLOOKUP($C48,Спр_Измерения!$A$4:$F$16,4,0),"")</f>
        <v/>
      </c>
      <c r="G48" s="11" t="str">
        <f>IFERROR(VLOOKUP($C48,Спр_Измерения!$A$4:$F$16,5,0),"")</f>
        <v/>
      </c>
      <c r="H48" s="11" t="str">
        <f>IFERROR(VLOOKUP($C48,Спр_Измерения!$A$4:$G$16,6,0),"")</f>
        <v/>
      </c>
      <c r="I48" s="10"/>
      <c r="J48" s="11" t="str">
        <f>IFERROR(VLOOKUP($C48,Спр_Измерения!$A$4:$G$16,7,0),"")</f>
        <v/>
      </c>
      <c r="K48" s="9"/>
    </row>
    <row r="49">
      <c r="A49" s="10"/>
      <c r="B49" s="10"/>
      <c r="C49" s="10"/>
      <c r="D49" s="11" t="str">
        <f>IFERROR(VLOOKUP($C49,Спр_Измерения!$A$4:$F$16,2,0),"")</f>
        <v/>
      </c>
      <c r="E49" s="11" t="str">
        <f>IFERROR(VLOOKUP($C49,Спр_Измерения!$A$4:$F$16,3,0),"")</f>
        <v/>
      </c>
      <c r="F49" s="11" t="str">
        <f>IFERROR(VLOOKUP($C49,Спр_Измерения!$A$4:$F$16,4,0),"")</f>
        <v/>
      </c>
      <c r="G49" s="11" t="str">
        <f>IFERROR(VLOOKUP($C49,Спр_Измерения!$A$4:$F$16,5,0),"")</f>
        <v/>
      </c>
      <c r="H49" s="11" t="str">
        <f>IFERROR(VLOOKUP($C49,Спр_Измерения!$A$4:$G$16,6,0),"")</f>
        <v/>
      </c>
      <c r="I49" s="10"/>
      <c r="J49" s="11" t="str">
        <f>IFERROR(VLOOKUP($C49,Спр_Измерения!$A$4:$G$16,7,0),"")</f>
        <v/>
      </c>
      <c r="K49" s="9"/>
    </row>
    <row r="50">
      <c r="A50" s="10"/>
      <c r="B50" s="10"/>
      <c r="C50" s="10"/>
      <c r="D50" s="11" t="str">
        <f>IFERROR(VLOOKUP($C50,Спр_Измерения!$A$4:$F$16,2,0),"")</f>
        <v/>
      </c>
      <c r="E50" s="11" t="str">
        <f>IFERROR(VLOOKUP($C50,Спр_Измерения!$A$4:$F$16,3,0),"")</f>
        <v/>
      </c>
      <c r="F50" s="11" t="str">
        <f>IFERROR(VLOOKUP($C50,Спр_Измерения!$A$4:$F$16,4,0),"")</f>
        <v/>
      </c>
      <c r="G50" s="11" t="str">
        <f>IFERROR(VLOOKUP($C50,Спр_Измерения!$A$4:$F$16,5,0),"")</f>
        <v/>
      </c>
      <c r="H50" s="11" t="str">
        <f>IFERROR(VLOOKUP($C50,Спр_Измерения!$A$4:$G$16,6,0),"")</f>
        <v/>
      </c>
      <c r="I50" s="10"/>
      <c r="J50" s="11" t="str">
        <f>IFERROR(VLOOKUP($C50,Спр_Измерения!$A$4:$G$16,7,0),"")</f>
        <v/>
      </c>
      <c r="K50" s="9"/>
    </row>
    <row r="51">
      <c r="A51" s="10"/>
      <c r="B51" s="10"/>
      <c r="C51" s="10"/>
      <c r="D51" s="11" t="str">
        <f>IFERROR(VLOOKUP($C51,Спр_Измерения!$A$4:$F$16,2,0),"")</f>
        <v/>
      </c>
      <c r="E51" s="11" t="str">
        <f>IFERROR(VLOOKUP($C51,Спр_Измерения!$A$4:$F$16,3,0),"")</f>
        <v/>
      </c>
      <c r="F51" s="11" t="str">
        <f>IFERROR(VLOOKUP($C51,Спр_Измерения!$A$4:$F$16,4,0),"")</f>
        <v/>
      </c>
      <c r="G51" s="11" t="str">
        <f>IFERROR(VLOOKUP($C51,Спр_Измерения!$A$4:$F$16,5,0),"")</f>
        <v/>
      </c>
      <c r="H51" s="11" t="str">
        <f>IFERROR(VLOOKUP($C51,Спр_Измерения!$A$4:$G$16,6,0),"")</f>
        <v/>
      </c>
      <c r="I51" s="10"/>
      <c r="J51" s="11" t="str">
        <f>IFERROR(VLOOKUP($C51,Спр_Измерения!$A$4:$G$16,7,0),"")</f>
        <v/>
      </c>
      <c r="K51" s="9"/>
    </row>
    <row r="52">
      <c r="A52" s="10"/>
      <c r="B52" s="10"/>
      <c r="C52" s="10"/>
      <c r="D52" s="11" t="str">
        <f>IFERROR(VLOOKUP($C52,Спр_Измерения!$A$4:$F$16,2,0),"")</f>
        <v/>
      </c>
      <c r="E52" s="11" t="str">
        <f>IFERROR(VLOOKUP($C52,Спр_Измерения!$A$4:$F$16,3,0),"")</f>
        <v/>
      </c>
      <c r="F52" s="11" t="str">
        <f>IFERROR(VLOOKUP($C52,Спр_Измерения!$A$4:$F$16,4,0),"")</f>
        <v/>
      </c>
      <c r="G52" s="11" t="str">
        <f>IFERROR(VLOOKUP($C52,Спр_Измерения!$A$4:$F$16,5,0),"")</f>
        <v/>
      </c>
      <c r="H52" s="11" t="str">
        <f>IFERROR(VLOOKUP($C52,Спр_Измерения!$A$4:$G$16,6,0),"")</f>
        <v/>
      </c>
      <c r="I52" s="10"/>
      <c r="J52" s="11" t="str">
        <f>IFERROR(VLOOKUP($C52,Спр_Измерения!$A$4:$G$16,7,0),"")</f>
        <v/>
      </c>
      <c r="K52" s="9"/>
    </row>
    <row r="53">
      <c r="A53" s="10"/>
      <c r="B53" s="10"/>
      <c r="C53" s="10"/>
      <c r="D53" s="11" t="str">
        <f>IFERROR(VLOOKUP($C53,Спр_Измерения!$A$4:$F$16,2,0),"")</f>
        <v/>
      </c>
      <c r="E53" s="11" t="str">
        <f>IFERROR(VLOOKUP($C53,Спр_Измерения!$A$4:$F$16,3,0),"")</f>
        <v/>
      </c>
      <c r="F53" s="11" t="str">
        <f>IFERROR(VLOOKUP($C53,Спр_Измерения!$A$4:$F$16,4,0),"")</f>
        <v/>
      </c>
      <c r="G53" s="11" t="str">
        <f>IFERROR(VLOOKUP($C53,Спр_Измерения!$A$4:$F$16,5,0),"")</f>
        <v/>
      </c>
      <c r="H53" s="11" t="str">
        <f>IFERROR(VLOOKUP($C53,Спр_Измерения!$A$4:$G$16,6,0),"")</f>
        <v/>
      </c>
      <c r="I53" s="10"/>
      <c r="J53" s="11" t="str">
        <f>IFERROR(VLOOKUP($C53,Спр_Измерения!$A$4:$G$16,7,0),"")</f>
        <v/>
      </c>
      <c r="K53" s="9"/>
    </row>
    <row r="54">
      <c r="A54" s="10"/>
      <c r="B54" s="10"/>
      <c r="C54" s="10"/>
      <c r="D54" s="11" t="str">
        <f>IFERROR(VLOOKUP($C54,Спр_Измерения!$A$4:$F$16,2,0),"")</f>
        <v/>
      </c>
      <c r="E54" s="11" t="str">
        <f>IFERROR(VLOOKUP($C54,Спр_Измерения!$A$4:$F$16,3,0),"")</f>
        <v/>
      </c>
      <c r="F54" s="11" t="str">
        <f>IFERROR(VLOOKUP($C54,Спр_Измерения!$A$4:$F$16,4,0),"")</f>
        <v/>
      </c>
      <c r="G54" s="11" t="str">
        <f>IFERROR(VLOOKUP($C54,Спр_Измерения!$A$4:$F$16,5,0),"")</f>
        <v/>
      </c>
      <c r="H54" s="11" t="str">
        <f>IFERROR(VLOOKUP($C54,Спр_Измерения!$A$4:$G$16,6,0),"")</f>
        <v/>
      </c>
      <c r="I54" s="10"/>
      <c r="J54" s="11" t="str">
        <f>IFERROR(VLOOKUP($C54,Спр_Измерения!$A$4:$G$16,7,0),"")</f>
        <v/>
      </c>
      <c r="K54" s="9"/>
    </row>
    <row r="55">
      <c r="A55" s="10"/>
      <c r="B55" s="10"/>
      <c r="C55" s="10"/>
      <c r="D55" s="11" t="str">
        <f>IFERROR(VLOOKUP($C55,Спр_Измерения!$A$4:$F$16,2,0),"")</f>
        <v/>
      </c>
      <c r="E55" s="11" t="str">
        <f>IFERROR(VLOOKUP($C55,Спр_Измерения!$A$4:$F$16,3,0),"")</f>
        <v/>
      </c>
      <c r="F55" s="11" t="str">
        <f>IFERROR(VLOOKUP($C55,Спр_Измерения!$A$4:$F$16,4,0),"")</f>
        <v/>
      </c>
      <c r="G55" s="11" t="str">
        <f>IFERROR(VLOOKUP($C55,Спр_Измерения!$A$4:$F$16,5,0),"")</f>
        <v/>
      </c>
      <c r="H55" s="11" t="str">
        <f>IFERROR(VLOOKUP($C55,Спр_Измерения!$A$4:$G$16,6,0),"")</f>
        <v/>
      </c>
      <c r="I55" s="10"/>
      <c r="J55" s="11" t="str">
        <f>IFERROR(VLOOKUP($C55,Спр_Измерения!$A$4:$G$16,7,0),"")</f>
        <v/>
      </c>
      <c r="K55" s="9"/>
    </row>
    <row r="56">
      <c r="A56" s="10"/>
      <c r="B56" s="10"/>
      <c r="C56" s="10"/>
      <c r="D56" s="11" t="str">
        <f>IFERROR(VLOOKUP($C56,Спр_Измерения!$A$4:$F$16,2,0),"")</f>
        <v/>
      </c>
      <c r="E56" s="11" t="str">
        <f>IFERROR(VLOOKUP($C56,Спр_Измерения!$A$4:$F$16,3,0),"")</f>
        <v/>
      </c>
      <c r="F56" s="11" t="str">
        <f>IFERROR(VLOOKUP($C56,Спр_Измерения!$A$4:$F$16,4,0),"")</f>
        <v/>
      </c>
      <c r="G56" s="11" t="str">
        <f>IFERROR(VLOOKUP($C56,Спр_Измерения!$A$4:$F$16,5,0),"")</f>
        <v/>
      </c>
      <c r="H56" s="11" t="str">
        <f>IFERROR(VLOOKUP($C56,Спр_Измерения!$A$4:$G$16,6,0),"")</f>
        <v/>
      </c>
      <c r="I56" s="10"/>
      <c r="J56" s="11" t="str">
        <f>IFERROR(VLOOKUP($C56,Спр_Измерения!$A$4:$G$16,7,0),"")</f>
        <v/>
      </c>
      <c r="K56" s="9"/>
    </row>
    <row r="57">
      <c r="A57" s="10"/>
      <c r="B57" s="10"/>
      <c r="C57" s="10"/>
      <c r="D57" s="11" t="str">
        <f>IFERROR(VLOOKUP($C57,Спр_Измерения!$A$4:$F$16,2,0),"")</f>
        <v/>
      </c>
      <c r="E57" s="11" t="str">
        <f>IFERROR(VLOOKUP($C57,Спр_Измерения!$A$4:$F$16,3,0),"")</f>
        <v/>
      </c>
      <c r="F57" s="11" t="str">
        <f>IFERROR(VLOOKUP($C57,Спр_Измерения!$A$4:$F$16,4,0),"")</f>
        <v/>
      </c>
      <c r="G57" s="11" t="str">
        <f>IFERROR(VLOOKUP($C57,Спр_Измерения!$A$4:$F$16,5,0),"")</f>
        <v/>
      </c>
      <c r="H57" s="11" t="str">
        <f>IFERROR(VLOOKUP($C57,Спр_Измерения!$A$4:$G$16,6,0),"")</f>
        <v/>
      </c>
      <c r="I57" s="10"/>
      <c r="J57" s="11" t="str">
        <f>IFERROR(VLOOKUP($C57,Спр_Измерения!$A$4:$G$16,7,0),"")</f>
        <v/>
      </c>
      <c r="K57" s="9"/>
    </row>
    <row r="58">
      <c r="A58" s="10"/>
      <c r="B58" s="10"/>
      <c r="C58" s="10"/>
      <c r="D58" s="11" t="str">
        <f>IFERROR(VLOOKUP($C58,Спр_Измерения!$A$4:$F$16,2,0),"")</f>
        <v/>
      </c>
      <c r="E58" s="11" t="str">
        <f>IFERROR(VLOOKUP($C58,Спр_Измерения!$A$4:$F$16,3,0),"")</f>
        <v/>
      </c>
      <c r="F58" s="11" t="str">
        <f>IFERROR(VLOOKUP($C58,Спр_Измерения!$A$4:$F$16,4,0),"")</f>
        <v/>
      </c>
      <c r="G58" s="11" t="str">
        <f>IFERROR(VLOOKUP($C58,Спр_Измерения!$A$4:$F$16,5,0),"")</f>
        <v/>
      </c>
      <c r="H58" s="11" t="str">
        <f>IFERROR(VLOOKUP($C58,Спр_Измерения!$A$4:$G$16,6,0),"")</f>
        <v/>
      </c>
      <c r="I58" s="10"/>
      <c r="J58" s="11" t="str">
        <f>IFERROR(VLOOKUP($C58,Спр_Измерения!$A$4:$G$16,7,0),"")</f>
        <v/>
      </c>
      <c r="K58" s="9"/>
    </row>
    <row r="59">
      <c r="A59" s="10"/>
      <c r="B59" s="10"/>
      <c r="C59" s="10"/>
      <c r="D59" s="11" t="str">
        <f>IFERROR(VLOOKUP($C59,Спр_Измерения!$A$4:$F$16,2,0),"")</f>
        <v/>
      </c>
      <c r="E59" s="11" t="str">
        <f>IFERROR(VLOOKUP($C59,Спр_Измерения!$A$4:$F$16,3,0),"")</f>
        <v/>
      </c>
      <c r="F59" s="11" t="str">
        <f>IFERROR(VLOOKUP($C59,Спр_Измерения!$A$4:$F$16,4,0),"")</f>
        <v/>
      </c>
      <c r="G59" s="11" t="str">
        <f>IFERROR(VLOOKUP($C59,Спр_Измерения!$A$4:$F$16,5,0),"")</f>
        <v/>
      </c>
      <c r="H59" s="11" t="str">
        <f>IFERROR(VLOOKUP($C59,Спр_Измерения!$A$4:$G$16,6,0),"")</f>
        <v/>
      </c>
      <c r="I59" s="10"/>
      <c r="J59" s="11" t="str">
        <f>IFERROR(VLOOKUP($C59,Спр_Измерения!$A$4:$G$16,7,0),"")</f>
        <v/>
      </c>
      <c r="K59" s="9"/>
    </row>
    <row r="60">
      <c r="A60" s="10"/>
      <c r="B60" s="10"/>
      <c r="C60" s="10"/>
      <c r="D60" s="11" t="str">
        <f>IFERROR(VLOOKUP($C60,Спр_Измерения!$A$4:$F$16,2,0),"")</f>
        <v/>
      </c>
      <c r="E60" s="11" t="str">
        <f>IFERROR(VLOOKUP($C60,Спр_Измерения!$A$4:$F$16,3,0),"")</f>
        <v/>
      </c>
      <c r="F60" s="11" t="str">
        <f>IFERROR(VLOOKUP($C60,Спр_Измерения!$A$4:$F$16,4,0),"")</f>
        <v/>
      </c>
      <c r="G60" s="11" t="str">
        <f>IFERROR(VLOOKUP($C60,Спр_Измерения!$A$4:$F$16,5,0),"")</f>
        <v/>
      </c>
      <c r="H60" s="11" t="str">
        <f>IFERROR(VLOOKUP($C60,Спр_Измерения!$A$4:$G$16,6,0),"")</f>
        <v/>
      </c>
      <c r="I60" s="10"/>
      <c r="J60" s="11" t="str">
        <f>IFERROR(VLOOKUP($C60,Спр_Измерения!$A$4:$G$16,7,0),"")</f>
        <v/>
      </c>
      <c r="K60" s="9"/>
    </row>
    <row r="61">
      <c r="A61" s="10"/>
      <c r="B61" s="10"/>
      <c r="C61" s="10"/>
      <c r="D61" s="11" t="str">
        <f>IFERROR(VLOOKUP($C61,Спр_Измерения!$A$4:$F$16,2,0),"")</f>
        <v/>
      </c>
      <c r="E61" s="11" t="str">
        <f>IFERROR(VLOOKUP($C61,Спр_Измерения!$A$4:$F$16,3,0),"")</f>
        <v/>
      </c>
      <c r="F61" s="11" t="str">
        <f>IFERROR(VLOOKUP($C61,Спр_Измерения!$A$4:$F$16,4,0),"")</f>
        <v/>
      </c>
      <c r="G61" s="11" t="str">
        <f>IFERROR(VLOOKUP($C61,Спр_Измерения!$A$4:$F$16,5,0),"")</f>
        <v/>
      </c>
      <c r="H61" s="11" t="str">
        <f>IFERROR(VLOOKUP($C61,Спр_Измерения!$A$4:$G$16,6,0),"")</f>
        <v/>
      </c>
      <c r="I61" s="10"/>
      <c r="J61" s="11" t="str">
        <f>IFERROR(VLOOKUP($C61,Спр_Измерения!$A$4:$G$16,7,0),"")</f>
        <v/>
      </c>
      <c r="K61" s="9"/>
    </row>
    <row r="62">
      <c r="A62" s="10"/>
      <c r="B62" s="10"/>
      <c r="C62" s="10"/>
      <c r="D62" s="11" t="str">
        <f>IFERROR(VLOOKUP($C62,Спр_Измерения!$A$4:$F$16,2,0),"")</f>
        <v/>
      </c>
      <c r="E62" s="11" t="str">
        <f>IFERROR(VLOOKUP($C62,Спр_Измерения!$A$4:$F$16,3,0),"")</f>
        <v/>
      </c>
      <c r="F62" s="11" t="str">
        <f>IFERROR(VLOOKUP($C62,Спр_Измерения!$A$4:$F$16,4,0),"")</f>
        <v/>
      </c>
      <c r="G62" s="11" t="str">
        <f>IFERROR(VLOOKUP($C62,Спр_Измерения!$A$4:$F$16,5,0),"")</f>
        <v/>
      </c>
      <c r="H62" s="11" t="str">
        <f>IFERROR(VLOOKUP($C62,Спр_Измерения!$A$4:$G$16,6,0),"")</f>
        <v/>
      </c>
      <c r="I62" s="10"/>
      <c r="J62" s="11" t="str">
        <f>IFERROR(VLOOKUP($C62,Спр_Измерения!$A$4:$G$16,7,0),"")</f>
        <v/>
      </c>
      <c r="K62" s="9"/>
    </row>
    <row r="63">
      <c r="A63" s="10"/>
      <c r="B63" s="10"/>
      <c r="C63" s="10"/>
      <c r="D63" s="11" t="str">
        <f>IFERROR(VLOOKUP($C63,Спр_Измерения!$A$4:$F$16,2,0),"")</f>
        <v/>
      </c>
      <c r="E63" s="11" t="str">
        <f>IFERROR(VLOOKUP($C63,Спр_Измерения!$A$4:$F$16,3,0),"")</f>
        <v/>
      </c>
      <c r="F63" s="11" t="str">
        <f>IFERROR(VLOOKUP($C63,Спр_Измерения!$A$4:$F$16,4,0),"")</f>
        <v/>
      </c>
      <c r="G63" s="11" t="str">
        <f>IFERROR(VLOOKUP($C63,Спр_Измерения!$A$4:$F$16,5,0),"")</f>
        <v/>
      </c>
      <c r="H63" s="11" t="str">
        <f>IFERROR(VLOOKUP($C63,Спр_Измерения!$A$4:$G$16,6,0),"")</f>
        <v/>
      </c>
      <c r="I63" s="10"/>
      <c r="J63" s="11" t="str">
        <f>IFERROR(VLOOKUP($C63,Спр_Измерения!$A$4:$G$16,7,0),"")</f>
        <v/>
      </c>
      <c r="K63" s="9"/>
    </row>
    <row r="64">
      <c r="A64" s="10"/>
      <c r="B64" s="10"/>
      <c r="C64" s="10"/>
      <c r="D64" s="11" t="str">
        <f>IFERROR(VLOOKUP($C64,Спр_Измерения!$A$4:$F$16,2,0),"")</f>
        <v/>
      </c>
      <c r="E64" s="11" t="str">
        <f>IFERROR(VLOOKUP($C64,Спр_Измерения!$A$4:$F$16,3,0),"")</f>
        <v/>
      </c>
      <c r="F64" s="11" t="str">
        <f>IFERROR(VLOOKUP($C64,Спр_Измерения!$A$4:$F$16,4,0),"")</f>
        <v/>
      </c>
      <c r="G64" s="11" t="str">
        <f>IFERROR(VLOOKUP($C64,Спр_Измерения!$A$4:$F$16,5,0),"")</f>
        <v/>
      </c>
      <c r="H64" s="11" t="str">
        <f>IFERROR(VLOOKUP($C64,Спр_Измерения!$A$4:$G$16,6,0),"")</f>
        <v/>
      </c>
      <c r="I64" s="10"/>
      <c r="J64" s="11" t="str">
        <f>IFERROR(VLOOKUP($C64,Спр_Измерения!$A$4:$G$16,7,0),"")</f>
        <v/>
      </c>
      <c r="K64" s="9"/>
    </row>
    <row r="65">
      <c r="A65" s="10"/>
      <c r="B65" s="10"/>
      <c r="C65" s="10"/>
      <c r="D65" s="11" t="str">
        <f>IFERROR(VLOOKUP($C65,Спр_Измерения!$A$4:$F$16,2,0),"")</f>
        <v/>
      </c>
      <c r="E65" s="11" t="str">
        <f>IFERROR(VLOOKUP($C65,Спр_Измерения!$A$4:$F$16,3,0),"")</f>
        <v/>
      </c>
      <c r="F65" s="11" t="str">
        <f>IFERROR(VLOOKUP($C65,Спр_Измерения!$A$4:$F$16,4,0),"")</f>
        <v/>
      </c>
      <c r="G65" s="11" t="str">
        <f>IFERROR(VLOOKUP($C65,Спр_Измерения!$A$4:$F$16,5,0),"")</f>
        <v/>
      </c>
      <c r="H65" s="11" t="str">
        <f>IFERROR(VLOOKUP($C65,Спр_Измерения!$A$4:$G$16,6,0),"")</f>
        <v/>
      </c>
      <c r="I65" s="10"/>
      <c r="J65" s="11" t="str">
        <f>IFERROR(VLOOKUP($C65,Спр_Измерения!$A$4:$G$16,7,0),"")</f>
        <v/>
      </c>
      <c r="K65" s="9"/>
    </row>
    <row r="66">
      <c r="A66" s="10"/>
      <c r="B66" s="10"/>
      <c r="C66" s="10"/>
      <c r="D66" s="11" t="str">
        <f>IFERROR(VLOOKUP($C66,Спр_Измерения!$A$4:$F$16,2,0),"")</f>
        <v/>
      </c>
      <c r="E66" s="11" t="str">
        <f>IFERROR(VLOOKUP($C66,Спр_Измерения!$A$4:$F$16,3,0),"")</f>
        <v/>
      </c>
      <c r="F66" s="11" t="str">
        <f>IFERROR(VLOOKUP($C66,Спр_Измерения!$A$4:$F$16,4,0),"")</f>
        <v/>
      </c>
      <c r="G66" s="11" t="str">
        <f>IFERROR(VLOOKUP($C66,Спр_Измерения!$A$4:$F$16,5,0),"")</f>
        <v/>
      </c>
      <c r="H66" s="11" t="str">
        <f>IFERROR(VLOOKUP($C66,Спр_Измерения!$A$4:$G$16,6,0),"")</f>
        <v/>
      </c>
      <c r="I66" s="10"/>
      <c r="J66" s="11" t="str">
        <f>IFERROR(VLOOKUP($C66,Спр_Измерения!$A$4:$G$16,7,0),"")</f>
        <v/>
      </c>
      <c r="K66" s="9"/>
    </row>
    <row r="67">
      <c r="A67" s="10"/>
      <c r="B67" s="10"/>
      <c r="C67" s="10"/>
      <c r="D67" s="11" t="str">
        <f>IFERROR(VLOOKUP($C67,Спр_Измерения!$A$4:$F$16,2,0),"")</f>
        <v/>
      </c>
      <c r="E67" s="11" t="str">
        <f>IFERROR(VLOOKUP($C67,Спр_Измерения!$A$4:$F$16,3,0),"")</f>
        <v/>
      </c>
      <c r="F67" s="11" t="str">
        <f>IFERROR(VLOOKUP($C67,Спр_Измерения!$A$4:$F$16,4,0),"")</f>
        <v/>
      </c>
      <c r="G67" s="11" t="str">
        <f>IFERROR(VLOOKUP($C67,Спр_Измерения!$A$4:$F$16,5,0),"")</f>
        <v/>
      </c>
      <c r="H67" s="11" t="str">
        <f>IFERROR(VLOOKUP($C67,Спр_Измерения!$A$4:$G$16,6,0),"")</f>
        <v/>
      </c>
      <c r="I67" s="10"/>
      <c r="J67" s="11" t="str">
        <f>IFERROR(VLOOKUP($C67,Спр_Измерения!$A$4:$G$16,7,0),"")</f>
        <v/>
      </c>
      <c r="K67" s="9"/>
    </row>
    <row r="68">
      <c r="A68" s="10"/>
      <c r="B68" s="10"/>
      <c r="C68" s="10"/>
      <c r="D68" s="11" t="str">
        <f>IFERROR(VLOOKUP($C68,Спр_Измерения!$A$4:$F$16,2,0),"")</f>
        <v/>
      </c>
      <c r="E68" s="11" t="str">
        <f>IFERROR(VLOOKUP($C68,Спр_Измерения!$A$4:$F$16,3,0),"")</f>
        <v/>
      </c>
      <c r="F68" s="11" t="str">
        <f>IFERROR(VLOOKUP($C68,Спр_Измерения!$A$4:$F$16,4,0),"")</f>
        <v/>
      </c>
      <c r="G68" s="11" t="str">
        <f>IFERROR(VLOOKUP($C68,Спр_Измерения!$A$4:$F$16,5,0),"")</f>
        <v/>
      </c>
      <c r="H68" s="11" t="str">
        <f>IFERROR(VLOOKUP($C68,Спр_Измерения!$A$4:$G$16,6,0),"")</f>
        <v/>
      </c>
      <c r="I68" s="10"/>
      <c r="J68" s="11" t="str">
        <f>IFERROR(VLOOKUP($C68,Спр_Измерения!$A$4:$G$16,7,0),"")</f>
        <v/>
      </c>
      <c r="K68" s="9"/>
    </row>
    <row r="69">
      <c r="A69" s="10"/>
      <c r="B69" s="10"/>
      <c r="C69" s="10"/>
      <c r="D69" s="11" t="str">
        <f>IFERROR(VLOOKUP($C69,Спр_Измерения!$A$4:$F$16,2,0),"")</f>
        <v/>
      </c>
      <c r="E69" s="11" t="str">
        <f>IFERROR(VLOOKUP($C69,Спр_Измерения!$A$4:$F$16,3,0),"")</f>
        <v/>
      </c>
      <c r="F69" s="11" t="str">
        <f>IFERROR(VLOOKUP($C69,Спр_Измерения!$A$4:$F$16,4,0),"")</f>
        <v/>
      </c>
      <c r="G69" s="11" t="str">
        <f>IFERROR(VLOOKUP($C69,Спр_Измерения!$A$4:$F$16,5,0),"")</f>
        <v/>
      </c>
      <c r="H69" s="11" t="str">
        <f>IFERROR(VLOOKUP($C69,Спр_Измерения!$A$4:$G$16,6,0),"")</f>
        <v/>
      </c>
      <c r="I69" s="10"/>
      <c r="J69" s="11" t="str">
        <f>IFERROR(VLOOKUP($C69,Спр_Измерения!$A$4:$G$16,7,0),"")</f>
        <v/>
      </c>
      <c r="K69" s="9"/>
    </row>
    <row r="70">
      <c r="A70" s="10"/>
      <c r="B70" s="10"/>
      <c r="C70" s="10"/>
      <c r="D70" s="11" t="str">
        <f>IFERROR(VLOOKUP($C70,Спр_Измерения!$A$4:$F$16,2,0),"")</f>
        <v/>
      </c>
      <c r="E70" s="11" t="str">
        <f>IFERROR(VLOOKUP($C70,Спр_Измерения!$A$4:$F$16,3,0),"")</f>
        <v/>
      </c>
      <c r="F70" s="11" t="str">
        <f>IFERROR(VLOOKUP($C70,Спр_Измерения!$A$4:$F$16,4,0),"")</f>
        <v/>
      </c>
      <c r="G70" s="11" t="str">
        <f>IFERROR(VLOOKUP($C70,Спр_Измерения!$A$4:$F$16,5,0),"")</f>
        <v/>
      </c>
      <c r="H70" s="11" t="str">
        <f>IFERROR(VLOOKUP($C70,Спр_Измерения!$A$4:$G$16,6,0),"")</f>
        <v/>
      </c>
      <c r="I70" s="10"/>
      <c r="J70" s="11" t="str">
        <f>IFERROR(VLOOKUP($C70,Спр_Измерения!$A$4:$G$16,7,0),"")</f>
        <v/>
      </c>
      <c r="K70" s="9"/>
    </row>
    <row r="71">
      <c r="A71" s="10"/>
      <c r="B71" s="10"/>
      <c r="C71" s="10"/>
      <c r="D71" s="11" t="str">
        <f>IFERROR(VLOOKUP($C71,Спр_Измерения!$A$4:$F$16,2,0),"")</f>
        <v/>
      </c>
      <c r="E71" s="11" t="str">
        <f>IFERROR(VLOOKUP($C71,Спр_Измерения!$A$4:$F$16,3,0),"")</f>
        <v/>
      </c>
      <c r="F71" s="11" t="str">
        <f>IFERROR(VLOOKUP($C71,Спр_Измерения!$A$4:$F$16,4,0),"")</f>
        <v/>
      </c>
      <c r="G71" s="11" t="str">
        <f>IFERROR(VLOOKUP($C71,Спр_Измерения!$A$4:$F$16,5,0),"")</f>
        <v/>
      </c>
      <c r="H71" s="11" t="str">
        <f>IFERROR(VLOOKUP($C71,Спр_Измерения!$A$4:$G$16,6,0),"")</f>
        <v/>
      </c>
      <c r="I71" s="10"/>
      <c r="J71" s="11" t="str">
        <f>IFERROR(VLOOKUP($C71,Спр_Измерения!$A$4:$G$16,7,0),"")</f>
        <v/>
      </c>
      <c r="K71" s="9"/>
    </row>
    <row r="72">
      <c r="A72" s="10"/>
      <c r="B72" s="10"/>
      <c r="C72" s="10"/>
      <c r="D72" s="11" t="str">
        <f>IFERROR(VLOOKUP($C72,Спр_Измерения!$A$4:$F$16,2,0),"")</f>
        <v/>
      </c>
      <c r="E72" s="11" t="str">
        <f>IFERROR(VLOOKUP($C72,Спр_Измерения!$A$4:$F$16,3,0),"")</f>
        <v/>
      </c>
      <c r="F72" s="11" t="str">
        <f>IFERROR(VLOOKUP($C72,Спр_Измерения!$A$4:$F$16,4,0),"")</f>
        <v/>
      </c>
      <c r="G72" s="11" t="str">
        <f>IFERROR(VLOOKUP($C72,Спр_Измерения!$A$4:$F$16,5,0),"")</f>
        <v/>
      </c>
      <c r="H72" s="11" t="str">
        <f>IFERROR(VLOOKUP($C72,Спр_Измерения!$A$4:$G$16,6,0),"")</f>
        <v/>
      </c>
      <c r="I72" s="10"/>
      <c r="J72" s="11" t="str">
        <f>IFERROR(VLOOKUP($C72,Спр_Измерения!$A$4:$G$16,7,0),"")</f>
        <v/>
      </c>
      <c r="K72" s="9"/>
    </row>
    <row r="73">
      <c r="A73" s="10"/>
      <c r="B73" s="10"/>
      <c r="C73" s="10"/>
      <c r="D73" s="11" t="str">
        <f>IFERROR(VLOOKUP($C73,Спр_Измерения!$A$4:$F$16,2,0),"")</f>
        <v/>
      </c>
      <c r="E73" s="11" t="str">
        <f>IFERROR(VLOOKUP($C73,Спр_Измерения!$A$4:$F$16,3,0),"")</f>
        <v/>
      </c>
      <c r="F73" s="11" t="str">
        <f>IFERROR(VLOOKUP($C73,Спр_Измерения!$A$4:$F$16,4,0),"")</f>
        <v/>
      </c>
      <c r="G73" s="11" t="str">
        <f>IFERROR(VLOOKUP($C73,Спр_Измерения!$A$4:$F$16,5,0),"")</f>
        <v/>
      </c>
      <c r="H73" s="11" t="str">
        <f>IFERROR(VLOOKUP($C73,Спр_Измерения!$A$4:$G$16,6,0),"")</f>
        <v/>
      </c>
      <c r="I73" s="10"/>
      <c r="J73" s="11" t="str">
        <f>IFERROR(VLOOKUP($C73,Спр_Измерения!$A$4:$G$16,7,0),"")</f>
        <v/>
      </c>
      <c r="K73" s="9"/>
    </row>
    <row r="74">
      <c r="A74" s="10"/>
      <c r="B74" s="10"/>
      <c r="C74" s="10"/>
      <c r="D74" s="11" t="str">
        <f>IFERROR(VLOOKUP($C74,Спр_Измерения!$A$4:$F$16,2,0),"")</f>
        <v/>
      </c>
      <c r="E74" s="11" t="str">
        <f>IFERROR(VLOOKUP($C74,Спр_Измерения!$A$4:$F$16,3,0),"")</f>
        <v/>
      </c>
      <c r="F74" s="11" t="str">
        <f>IFERROR(VLOOKUP($C74,Спр_Измерения!$A$4:$F$16,4,0),"")</f>
        <v/>
      </c>
      <c r="G74" s="11" t="str">
        <f>IFERROR(VLOOKUP($C74,Спр_Измерения!$A$4:$F$16,5,0),"")</f>
        <v/>
      </c>
      <c r="H74" s="11" t="str">
        <f>IFERROR(VLOOKUP($C74,Спр_Измерения!$A$4:$G$16,6,0),"")</f>
        <v/>
      </c>
      <c r="I74" s="10"/>
      <c r="J74" s="11" t="str">
        <f>IFERROR(VLOOKUP($C74,Спр_Измерения!$A$4:$G$16,7,0),"")</f>
        <v/>
      </c>
      <c r="K74" s="9"/>
    </row>
    <row r="75">
      <c r="A75" s="10"/>
      <c r="B75" s="10"/>
      <c r="C75" s="10"/>
      <c r="D75" s="11" t="str">
        <f>IFERROR(VLOOKUP($C75,Спр_Измерения!$A$4:$F$16,2,0),"")</f>
        <v/>
      </c>
      <c r="E75" s="11" t="str">
        <f>IFERROR(VLOOKUP($C75,Спр_Измерения!$A$4:$F$16,3,0),"")</f>
        <v/>
      </c>
      <c r="F75" s="11" t="str">
        <f>IFERROR(VLOOKUP($C75,Спр_Измерения!$A$4:$F$16,4,0),"")</f>
        <v/>
      </c>
      <c r="G75" s="11" t="str">
        <f>IFERROR(VLOOKUP($C75,Спр_Измерения!$A$4:$F$16,5,0),"")</f>
        <v/>
      </c>
      <c r="H75" s="11" t="str">
        <f>IFERROR(VLOOKUP($C75,Спр_Измерения!$A$4:$G$16,6,0),"")</f>
        <v/>
      </c>
      <c r="I75" s="10"/>
      <c r="J75" s="11" t="str">
        <f>IFERROR(VLOOKUP($C75,Спр_Измерения!$A$4:$G$16,7,0),"")</f>
        <v/>
      </c>
      <c r="K75" s="9"/>
    </row>
    <row r="76">
      <c r="A76" s="10"/>
      <c r="B76" s="10"/>
      <c r="C76" s="10"/>
      <c r="D76" s="11" t="str">
        <f>IFERROR(VLOOKUP($C76,Спр_Измерения!$A$4:$F$16,2,0),"")</f>
        <v/>
      </c>
      <c r="E76" s="11" t="str">
        <f>IFERROR(VLOOKUP($C76,Спр_Измерения!$A$4:$F$16,3,0),"")</f>
        <v/>
      </c>
      <c r="F76" s="11" t="str">
        <f>IFERROR(VLOOKUP($C76,Спр_Измерения!$A$4:$F$16,4,0),"")</f>
        <v/>
      </c>
      <c r="G76" s="11" t="str">
        <f>IFERROR(VLOOKUP($C76,Спр_Измерения!$A$4:$F$16,5,0),"")</f>
        <v/>
      </c>
      <c r="H76" s="11" t="str">
        <f>IFERROR(VLOOKUP($C76,Спр_Измерения!$A$4:$G$16,6,0),"")</f>
        <v/>
      </c>
      <c r="I76" s="10"/>
      <c r="J76" s="11" t="str">
        <f>IFERROR(VLOOKUP($C76,Спр_Измерения!$A$4:$G$16,7,0),"")</f>
        <v/>
      </c>
      <c r="K76" s="9"/>
    </row>
    <row r="77">
      <c r="A77" s="10"/>
      <c r="B77" s="10"/>
      <c r="C77" s="10"/>
      <c r="D77" s="11" t="str">
        <f>IFERROR(VLOOKUP($C77,Спр_Измерения!$A$4:$F$16,2,0),"")</f>
        <v/>
      </c>
      <c r="E77" s="11" t="str">
        <f>IFERROR(VLOOKUP($C77,Спр_Измерения!$A$4:$F$16,3,0),"")</f>
        <v/>
      </c>
      <c r="F77" s="11" t="str">
        <f>IFERROR(VLOOKUP($C77,Спр_Измерения!$A$4:$F$16,4,0),"")</f>
        <v/>
      </c>
      <c r="G77" s="11" t="str">
        <f>IFERROR(VLOOKUP($C77,Спр_Измерения!$A$4:$F$16,5,0),"")</f>
        <v/>
      </c>
      <c r="H77" s="11" t="str">
        <f>IFERROR(VLOOKUP($C77,Спр_Измерения!$A$4:$G$16,6,0),"")</f>
        <v/>
      </c>
      <c r="I77" s="10"/>
      <c r="J77" s="11" t="str">
        <f>IFERROR(VLOOKUP($C77,Спр_Измерения!$A$4:$G$16,7,0),"")</f>
        <v/>
      </c>
      <c r="K77" s="9"/>
    </row>
    <row r="78">
      <c r="A78" s="10"/>
      <c r="B78" s="10"/>
      <c r="C78" s="10"/>
      <c r="D78" s="11" t="str">
        <f>IFERROR(VLOOKUP($C78,Спр_Измерения!$A$4:$F$16,2,0),"")</f>
        <v/>
      </c>
      <c r="E78" s="11" t="str">
        <f>IFERROR(VLOOKUP($C78,Спр_Измерения!$A$4:$F$16,3,0),"")</f>
        <v/>
      </c>
      <c r="F78" s="11" t="str">
        <f>IFERROR(VLOOKUP($C78,Спр_Измерения!$A$4:$F$16,4,0),"")</f>
        <v/>
      </c>
      <c r="G78" s="11" t="str">
        <f>IFERROR(VLOOKUP($C78,Спр_Измерения!$A$4:$F$16,5,0),"")</f>
        <v/>
      </c>
      <c r="H78" s="11" t="str">
        <f>IFERROR(VLOOKUP($C78,Спр_Измерения!$A$4:$G$16,6,0),"")</f>
        <v/>
      </c>
      <c r="I78" s="10"/>
      <c r="J78" s="11" t="str">
        <f>IFERROR(VLOOKUP($C78,Спр_Измерения!$A$4:$G$16,7,0),"")</f>
        <v/>
      </c>
      <c r="K78" s="9"/>
    </row>
    <row r="79">
      <c r="A79" s="10"/>
      <c r="B79" s="10"/>
      <c r="C79" s="10"/>
      <c r="D79" s="11" t="str">
        <f>IFERROR(VLOOKUP($C79,Спр_Измерения!$A$4:$F$16,2,0),"")</f>
        <v/>
      </c>
      <c r="E79" s="11" t="str">
        <f>IFERROR(VLOOKUP($C79,Спр_Измерения!$A$4:$F$16,3,0),"")</f>
        <v/>
      </c>
      <c r="F79" s="11" t="str">
        <f>IFERROR(VLOOKUP($C79,Спр_Измерения!$A$4:$F$16,4,0),"")</f>
        <v/>
      </c>
      <c r="G79" s="11" t="str">
        <f>IFERROR(VLOOKUP($C79,Спр_Измерения!$A$4:$F$16,5,0),"")</f>
        <v/>
      </c>
      <c r="H79" s="11" t="str">
        <f>IFERROR(VLOOKUP($C79,Спр_Измерения!$A$4:$G$16,6,0),"")</f>
        <v/>
      </c>
      <c r="I79" s="10"/>
      <c r="J79" s="11" t="str">
        <f>IFERROR(VLOOKUP($C79,Спр_Измерения!$A$4:$G$16,7,0),"")</f>
        <v/>
      </c>
      <c r="K79" s="9"/>
    </row>
    <row r="80">
      <c r="A80" s="10"/>
      <c r="B80" s="10"/>
      <c r="C80" s="10"/>
      <c r="D80" s="11" t="str">
        <f>IFERROR(VLOOKUP($C80,Спр_Измерения!$A$4:$F$16,2,0),"")</f>
        <v/>
      </c>
      <c r="E80" s="11" t="str">
        <f>IFERROR(VLOOKUP($C80,Спр_Измерения!$A$4:$F$16,3,0),"")</f>
        <v/>
      </c>
      <c r="F80" s="11" t="str">
        <f>IFERROR(VLOOKUP($C80,Спр_Измерения!$A$4:$F$16,4,0),"")</f>
        <v/>
      </c>
      <c r="G80" s="11" t="str">
        <f>IFERROR(VLOOKUP($C80,Спр_Измерения!$A$4:$F$16,5,0),"")</f>
        <v/>
      </c>
      <c r="H80" s="11" t="str">
        <f>IFERROR(VLOOKUP($C80,Спр_Измерения!$A$4:$G$16,6,0),"")</f>
        <v/>
      </c>
      <c r="I80" s="10"/>
      <c r="J80" s="11" t="str">
        <f>IFERROR(VLOOKUP($C80,Спр_Измерения!$A$4:$G$16,7,0),"")</f>
        <v/>
      </c>
      <c r="K80" s="9"/>
    </row>
    <row r="81">
      <c r="A81" s="10"/>
      <c r="B81" s="10"/>
      <c r="C81" s="10"/>
      <c r="D81" s="11" t="str">
        <f>IFERROR(VLOOKUP($C81,Спр_Измерения!$A$4:$F$16,2,0),"")</f>
        <v/>
      </c>
      <c r="E81" s="11" t="str">
        <f>IFERROR(VLOOKUP($C81,Спр_Измерения!$A$4:$F$16,3,0),"")</f>
        <v/>
      </c>
      <c r="F81" s="11" t="str">
        <f>IFERROR(VLOOKUP($C81,Спр_Измерения!$A$4:$F$16,4,0),"")</f>
        <v/>
      </c>
      <c r="G81" s="11" t="str">
        <f>IFERROR(VLOOKUP($C81,Спр_Измерения!$A$4:$F$16,5,0),"")</f>
        <v/>
      </c>
      <c r="H81" s="11" t="str">
        <f>IFERROR(VLOOKUP($C81,Спр_Измерения!$A$4:$G$16,6,0),"")</f>
        <v/>
      </c>
      <c r="I81" s="10"/>
      <c r="J81" s="11" t="str">
        <f>IFERROR(VLOOKUP($C81,Спр_Измерения!$A$4:$G$16,7,0),"")</f>
        <v/>
      </c>
      <c r="K81" s="9"/>
    </row>
    <row r="82">
      <c r="A82" s="10"/>
      <c r="B82" s="10"/>
      <c r="C82" s="10"/>
      <c r="D82" s="11" t="str">
        <f>IFERROR(VLOOKUP($C82,Спр_Измерения!$A$4:$F$16,2,0),"")</f>
        <v/>
      </c>
      <c r="E82" s="11" t="str">
        <f>IFERROR(VLOOKUP($C82,Спр_Измерения!$A$4:$F$16,3,0),"")</f>
        <v/>
      </c>
      <c r="F82" s="11" t="str">
        <f>IFERROR(VLOOKUP($C82,Спр_Измерения!$A$4:$F$16,4,0),"")</f>
        <v/>
      </c>
      <c r="G82" s="11" t="str">
        <f>IFERROR(VLOOKUP($C82,Спр_Измерения!$A$4:$F$16,5,0),"")</f>
        <v/>
      </c>
      <c r="H82" s="11" t="str">
        <f>IFERROR(VLOOKUP($C82,Спр_Измерения!$A$4:$G$16,6,0),"")</f>
        <v/>
      </c>
      <c r="I82" s="10"/>
      <c r="J82" s="11" t="str">
        <f>IFERROR(VLOOKUP($C82,Спр_Измерения!$A$4:$G$16,7,0),"")</f>
        <v/>
      </c>
      <c r="K82" s="9"/>
    </row>
    <row r="83">
      <c r="A83" s="10"/>
      <c r="B83" s="10"/>
      <c r="C83" s="10"/>
      <c r="D83" s="11" t="str">
        <f>IFERROR(VLOOKUP($C83,Спр_Измерения!$A$4:$F$16,2,0),"")</f>
        <v/>
      </c>
      <c r="E83" s="11" t="str">
        <f>IFERROR(VLOOKUP($C83,Спр_Измерения!$A$4:$F$16,3,0),"")</f>
        <v/>
      </c>
      <c r="F83" s="11" t="str">
        <f>IFERROR(VLOOKUP($C83,Спр_Измерения!$A$4:$F$16,4,0),"")</f>
        <v/>
      </c>
      <c r="G83" s="11" t="str">
        <f>IFERROR(VLOOKUP($C83,Спр_Измерения!$A$4:$F$16,5,0),"")</f>
        <v/>
      </c>
      <c r="H83" s="11" t="str">
        <f>IFERROR(VLOOKUP($C83,Спр_Измерения!$A$4:$G$16,6,0),"")</f>
        <v/>
      </c>
      <c r="I83" s="10"/>
      <c r="J83" s="11" t="str">
        <f>IFERROR(VLOOKUP($C83,Спр_Измерения!$A$4:$G$16,7,0),"")</f>
        <v/>
      </c>
      <c r="K83" s="9"/>
    </row>
    <row r="84">
      <c r="A84" s="10"/>
      <c r="B84" s="10"/>
      <c r="C84" s="10"/>
      <c r="D84" s="11" t="str">
        <f>IFERROR(VLOOKUP($C84,Спр_Измерения!$A$4:$F$16,2,0),"")</f>
        <v/>
      </c>
      <c r="E84" s="11" t="str">
        <f>IFERROR(VLOOKUP($C84,Спр_Измерения!$A$4:$F$16,3,0),"")</f>
        <v/>
      </c>
      <c r="F84" s="11" t="str">
        <f>IFERROR(VLOOKUP($C84,Спр_Измерения!$A$4:$F$16,4,0),"")</f>
        <v/>
      </c>
      <c r="G84" s="11" t="str">
        <f>IFERROR(VLOOKUP($C84,Спр_Измерения!$A$4:$F$16,5,0),"")</f>
        <v/>
      </c>
      <c r="H84" s="11" t="str">
        <f>IFERROR(VLOOKUP($C84,Спр_Измерения!$A$4:$G$16,6,0),"")</f>
        <v/>
      </c>
      <c r="I84" s="10"/>
      <c r="J84" s="11" t="str">
        <f>IFERROR(VLOOKUP($C84,Спр_Измерения!$A$4:$G$16,7,0),"")</f>
        <v/>
      </c>
      <c r="K84" s="9"/>
    </row>
    <row r="85">
      <c r="A85" s="10"/>
      <c r="B85" s="10"/>
      <c r="C85" s="10"/>
      <c r="D85" s="11" t="str">
        <f>IFERROR(VLOOKUP($C85,Спр_Измерения!$A$4:$F$16,2,0),"")</f>
        <v/>
      </c>
      <c r="E85" s="11" t="str">
        <f>IFERROR(VLOOKUP($C85,Спр_Измерения!$A$4:$F$16,3,0),"")</f>
        <v/>
      </c>
      <c r="F85" s="11" t="str">
        <f>IFERROR(VLOOKUP($C85,Спр_Измерения!$A$4:$F$16,4,0),"")</f>
        <v/>
      </c>
      <c r="G85" s="11" t="str">
        <f>IFERROR(VLOOKUP($C85,Спр_Измерения!$A$4:$F$16,5,0),"")</f>
        <v/>
      </c>
      <c r="H85" s="11" t="str">
        <f>IFERROR(VLOOKUP($C85,Спр_Измерения!$A$4:$G$16,6,0),"")</f>
        <v/>
      </c>
      <c r="I85" s="10"/>
      <c r="J85" s="11" t="str">
        <f>IFERROR(VLOOKUP($C85,Спр_Измерения!$A$4:$G$16,7,0),"")</f>
        <v/>
      </c>
      <c r="K85" s="9"/>
    </row>
    <row r="86">
      <c r="A86" s="10"/>
      <c r="B86" s="10"/>
      <c r="C86" s="10"/>
      <c r="D86" s="11" t="str">
        <f>IFERROR(VLOOKUP($C86,Спр_Измерения!$A$4:$F$16,2,0),"")</f>
        <v/>
      </c>
      <c r="E86" s="11" t="str">
        <f>IFERROR(VLOOKUP($C86,Спр_Измерения!$A$4:$F$16,3,0),"")</f>
        <v/>
      </c>
      <c r="F86" s="11" t="str">
        <f>IFERROR(VLOOKUP($C86,Спр_Измерения!$A$4:$F$16,4,0),"")</f>
        <v/>
      </c>
      <c r="G86" s="11" t="str">
        <f>IFERROR(VLOOKUP($C86,Спр_Измерения!$A$4:$F$16,5,0),"")</f>
        <v/>
      </c>
      <c r="H86" s="11" t="str">
        <f>IFERROR(VLOOKUP($C86,Спр_Измерения!$A$4:$G$16,6,0),"")</f>
        <v/>
      </c>
      <c r="I86" s="10"/>
      <c r="J86" s="11" t="str">
        <f>IFERROR(VLOOKUP($C86,Спр_Измерения!$A$4:$G$16,7,0),"")</f>
        <v/>
      </c>
      <c r="K86" s="9"/>
    </row>
    <row r="87">
      <c r="A87" s="10"/>
      <c r="B87" s="10"/>
      <c r="C87" s="10"/>
      <c r="D87" s="11" t="str">
        <f>IFERROR(VLOOKUP($C87,Спр_Измерения!$A$4:$F$16,2,0),"")</f>
        <v/>
      </c>
      <c r="E87" s="11" t="str">
        <f>IFERROR(VLOOKUP($C87,Спр_Измерения!$A$4:$F$16,3,0),"")</f>
        <v/>
      </c>
      <c r="F87" s="11" t="str">
        <f>IFERROR(VLOOKUP($C87,Спр_Измерения!$A$4:$F$16,4,0),"")</f>
        <v/>
      </c>
      <c r="G87" s="11" t="str">
        <f>IFERROR(VLOOKUP($C87,Спр_Измерения!$A$4:$F$16,5,0),"")</f>
        <v/>
      </c>
      <c r="H87" s="11" t="str">
        <f>IFERROR(VLOOKUP($C87,Спр_Измерения!$A$4:$G$16,6,0),"")</f>
        <v/>
      </c>
      <c r="I87" s="10"/>
      <c r="J87" s="11" t="str">
        <f>IFERROR(VLOOKUP($C87,Спр_Измерения!$A$4:$G$16,7,0),"")</f>
        <v/>
      </c>
      <c r="K87" s="9"/>
    </row>
    <row r="88">
      <c r="A88" s="10"/>
      <c r="B88" s="10"/>
      <c r="C88" s="10"/>
      <c r="D88" s="11" t="str">
        <f>IFERROR(VLOOKUP($C88,Спр_Измерения!$A$4:$F$16,2,0),"")</f>
        <v/>
      </c>
      <c r="E88" s="11" t="str">
        <f>IFERROR(VLOOKUP($C88,Спр_Измерения!$A$4:$F$16,3,0),"")</f>
        <v/>
      </c>
      <c r="F88" s="11" t="str">
        <f>IFERROR(VLOOKUP($C88,Спр_Измерения!$A$4:$F$16,4,0),"")</f>
        <v/>
      </c>
      <c r="G88" s="11" t="str">
        <f>IFERROR(VLOOKUP($C88,Спр_Измерения!$A$4:$F$16,5,0),"")</f>
        <v/>
      </c>
      <c r="H88" s="11" t="str">
        <f>IFERROR(VLOOKUP($C88,Спр_Измерения!$A$4:$G$16,6,0),"")</f>
        <v/>
      </c>
      <c r="I88" s="10"/>
      <c r="J88" s="11" t="str">
        <f>IFERROR(VLOOKUP($C88,Спр_Измерения!$A$4:$G$16,7,0),"")</f>
        <v/>
      </c>
      <c r="K88" s="9"/>
    </row>
    <row r="89">
      <c r="A89" s="10"/>
      <c r="B89" s="10"/>
      <c r="C89" s="10"/>
      <c r="D89" s="11" t="str">
        <f>IFERROR(VLOOKUP($C89,Спр_Измерения!$A$4:$F$16,2,0),"")</f>
        <v/>
      </c>
      <c r="E89" s="11" t="str">
        <f>IFERROR(VLOOKUP($C89,Спр_Измерения!$A$4:$F$16,3,0),"")</f>
        <v/>
      </c>
      <c r="F89" s="11" t="str">
        <f>IFERROR(VLOOKUP($C89,Спр_Измерения!$A$4:$F$16,4,0),"")</f>
        <v/>
      </c>
      <c r="G89" s="11" t="str">
        <f>IFERROR(VLOOKUP($C89,Спр_Измерения!$A$4:$F$16,5,0),"")</f>
        <v/>
      </c>
      <c r="H89" s="11" t="str">
        <f>IFERROR(VLOOKUP($C89,Спр_Измерения!$A$4:$G$16,6,0),"")</f>
        <v/>
      </c>
      <c r="I89" s="10"/>
      <c r="J89" s="11" t="str">
        <f>IFERROR(VLOOKUP($C89,Спр_Измерения!$A$4:$G$16,7,0),"")</f>
        <v/>
      </c>
      <c r="K89" s="9"/>
    </row>
    <row r="90">
      <c r="A90" s="10"/>
      <c r="B90" s="10"/>
      <c r="C90" s="10"/>
      <c r="D90" s="11" t="str">
        <f>IFERROR(VLOOKUP($C90,Спр_Измерения!$A$4:$F$16,2,0),"")</f>
        <v/>
      </c>
      <c r="E90" s="11" t="str">
        <f>IFERROR(VLOOKUP($C90,Спр_Измерения!$A$4:$F$16,3,0),"")</f>
        <v/>
      </c>
      <c r="F90" s="11" t="str">
        <f>IFERROR(VLOOKUP($C90,Спр_Измерения!$A$4:$F$16,4,0),"")</f>
        <v/>
      </c>
      <c r="G90" s="11" t="str">
        <f>IFERROR(VLOOKUP($C90,Спр_Измерения!$A$4:$F$16,5,0),"")</f>
        <v/>
      </c>
      <c r="H90" s="11" t="str">
        <f>IFERROR(VLOOKUP($C90,Спр_Измерения!$A$4:$G$16,6,0),"")</f>
        <v/>
      </c>
      <c r="I90" s="10"/>
      <c r="J90" s="11" t="str">
        <f>IFERROR(VLOOKUP($C90,Спр_Измерения!$A$4:$G$16,7,0),"")</f>
        <v/>
      </c>
      <c r="K90" s="9"/>
    </row>
    <row r="91">
      <c r="A91" s="10"/>
      <c r="B91" s="10"/>
      <c r="C91" s="10"/>
      <c r="D91" s="11" t="str">
        <f>IFERROR(VLOOKUP($C91,Спр_Измерения!$A$4:$F$16,2,0),"")</f>
        <v/>
      </c>
      <c r="E91" s="11" t="str">
        <f>IFERROR(VLOOKUP($C91,Спр_Измерения!$A$4:$F$16,3,0),"")</f>
        <v/>
      </c>
      <c r="F91" s="11" t="str">
        <f>IFERROR(VLOOKUP($C91,Спр_Измерения!$A$4:$F$16,4,0),"")</f>
        <v/>
      </c>
      <c r="G91" s="11" t="str">
        <f>IFERROR(VLOOKUP($C91,Спр_Измерения!$A$4:$F$16,5,0),"")</f>
        <v/>
      </c>
      <c r="H91" s="11" t="str">
        <f>IFERROR(VLOOKUP($C91,Спр_Измерения!$A$4:$G$16,6,0),"")</f>
        <v/>
      </c>
      <c r="I91" s="10"/>
      <c r="J91" s="11" t="str">
        <f>IFERROR(VLOOKUP($C91,Спр_Измерения!$A$4:$G$16,7,0),"")</f>
        <v/>
      </c>
      <c r="K91" s="9"/>
    </row>
    <row r="92">
      <c r="A92" s="10"/>
      <c r="B92" s="10"/>
      <c r="C92" s="10"/>
      <c r="D92" s="11" t="str">
        <f>IFERROR(VLOOKUP($C92,Спр_Измерения!$A$4:$F$16,2,0),"")</f>
        <v/>
      </c>
      <c r="E92" s="11" t="str">
        <f>IFERROR(VLOOKUP($C92,Спр_Измерения!$A$4:$F$16,3,0),"")</f>
        <v/>
      </c>
      <c r="F92" s="11" t="str">
        <f>IFERROR(VLOOKUP($C92,Спр_Измерения!$A$4:$F$16,4,0),"")</f>
        <v/>
      </c>
      <c r="G92" s="11" t="str">
        <f>IFERROR(VLOOKUP($C92,Спр_Измерения!$A$4:$F$16,5,0),"")</f>
        <v/>
      </c>
      <c r="H92" s="11" t="str">
        <f>IFERROR(VLOOKUP($C92,Спр_Измерения!$A$4:$G$16,6,0),"")</f>
        <v/>
      </c>
      <c r="I92" s="10"/>
      <c r="J92" s="11" t="str">
        <f>IFERROR(VLOOKUP($C92,Спр_Измерения!$A$4:$G$16,7,0),"")</f>
        <v/>
      </c>
      <c r="K92" s="9"/>
    </row>
    <row r="93">
      <c r="A93" s="10"/>
      <c r="B93" s="10"/>
      <c r="C93" s="10"/>
      <c r="D93" s="11" t="str">
        <f>IFERROR(VLOOKUP($C93,Спр_Измерения!$A$4:$F$16,2,0),"")</f>
        <v/>
      </c>
      <c r="E93" s="11" t="str">
        <f>IFERROR(VLOOKUP($C93,Спр_Измерения!$A$4:$F$16,3,0),"")</f>
        <v/>
      </c>
      <c r="F93" s="11" t="str">
        <f>IFERROR(VLOOKUP($C93,Спр_Измерения!$A$4:$F$16,4,0),"")</f>
        <v/>
      </c>
      <c r="G93" s="11" t="str">
        <f>IFERROR(VLOOKUP($C93,Спр_Измерения!$A$4:$F$16,5,0),"")</f>
        <v/>
      </c>
      <c r="H93" s="11" t="str">
        <f>IFERROR(VLOOKUP($C93,Спр_Измерения!$A$4:$G$16,6,0),"")</f>
        <v/>
      </c>
      <c r="I93" s="10"/>
      <c r="J93" s="11" t="str">
        <f>IFERROR(VLOOKUP($C93,Спр_Измерения!$A$4:$G$16,7,0),"")</f>
        <v/>
      </c>
      <c r="K93" s="9"/>
    </row>
    <row r="94">
      <c r="A94" s="10"/>
      <c r="B94" s="10"/>
      <c r="C94" s="10"/>
      <c r="D94" s="11" t="str">
        <f>IFERROR(VLOOKUP($C94,Спр_Измерения!$A$4:$F$16,2,0),"")</f>
        <v/>
      </c>
      <c r="E94" s="11" t="str">
        <f>IFERROR(VLOOKUP($C94,Спр_Измерения!$A$4:$F$16,3,0),"")</f>
        <v/>
      </c>
      <c r="F94" s="11" t="str">
        <f>IFERROR(VLOOKUP($C94,Спр_Измерения!$A$4:$F$16,4,0),"")</f>
        <v/>
      </c>
      <c r="G94" s="11" t="str">
        <f>IFERROR(VLOOKUP($C94,Спр_Измерения!$A$4:$F$16,5,0),"")</f>
        <v/>
      </c>
      <c r="H94" s="11" t="str">
        <f>IFERROR(VLOOKUP($C94,Спр_Измерения!$A$4:$G$16,6,0),"")</f>
        <v/>
      </c>
      <c r="I94" s="10"/>
      <c r="J94" s="11" t="str">
        <f>IFERROR(VLOOKUP($C94,Спр_Измерения!$A$4:$G$16,7,0),"")</f>
        <v/>
      </c>
      <c r="K94" s="9"/>
    </row>
    <row r="95">
      <c r="A95" s="10"/>
      <c r="B95" s="10"/>
      <c r="C95" s="10"/>
      <c r="D95" s="11" t="str">
        <f>IFERROR(VLOOKUP($C95,Спр_Измерения!$A$4:$F$16,2,0),"")</f>
        <v/>
      </c>
      <c r="E95" s="11" t="str">
        <f>IFERROR(VLOOKUP($C95,Спр_Измерения!$A$4:$F$16,3,0),"")</f>
        <v/>
      </c>
      <c r="F95" s="11" t="str">
        <f>IFERROR(VLOOKUP($C95,Спр_Измерения!$A$4:$F$16,4,0),"")</f>
        <v/>
      </c>
      <c r="G95" s="11" t="str">
        <f>IFERROR(VLOOKUP($C95,Спр_Измерения!$A$4:$F$16,5,0),"")</f>
        <v/>
      </c>
      <c r="H95" s="11" t="str">
        <f>IFERROR(VLOOKUP($C95,Спр_Измерения!$A$4:$G$16,6,0),"")</f>
        <v/>
      </c>
      <c r="I95" s="10"/>
      <c r="J95" s="11" t="str">
        <f>IFERROR(VLOOKUP($C95,Спр_Измерения!$A$4:$G$16,7,0),"")</f>
        <v/>
      </c>
      <c r="K95" s="9"/>
    </row>
    <row r="96">
      <c r="A96" s="10"/>
      <c r="B96" s="10"/>
      <c r="C96" s="10"/>
      <c r="D96" s="11" t="str">
        <f>IFERROR(VLOOKUP($C96,Спр_Измерения!$A$4:$F$16,2,0),"")</f>
        <v/>
      </c>
      <c r="E96" s="11" t="str">
        <f>IFERROR(VLOOKUP($C96,Спр_Измерения!$A$4:$F$16,3,0),"")</f>
        <v/>
      </c>
      <c r="F96" s="11" t="str">
        <f>IFERROR(VLOOKUP($C96,Спр_Измерения!$A$4:$F$16,4,0),"")</f>
        <v/>
      </c>
      <c r="G96" s="11" t="str">
        <f>IFERROR(VLOOKUP($C96,Спр_Измерения!$A$4:$F$16,5,0),"")</f>
        <v/>
      </c>
      <c r="H96" s="11" t="str">
        <f>IFERROR(VLOOKUP($C96,Спр_Измерения!$A$4:$G$16,6,0),"")</f>
        <v/>
      </c>
      <c r="I96" s="10"/>
      <c r="J96" s="11" t="str">
        <f>IFERROR(VLOOKUP($C96,Спр_Измерения!$A$4:$G$16,7,0),"")</f>
        <v/>
      </c>
      <c r="K96" s="9"/>
    </row>
    <row r="97">
      <c r="A97" s="10"/>
      <c r="B97" s="10"/>
      <c r="C97" s="10"/>
      <c r="D97" s="11" t="str">
        <f>IFERROR(VLOOKUP($C97,Спр_Измерения!$A$4:$F$16,2,0),"")</f>
        <v/>
      </c>
      <c r="E97" s="11" t="str">
        <f>IFERROR(VLOOKUP($C97,Спр_Измерения!$A$4:$F$16,3,0),"")</f>
        <v/>
      </c>
      <c r="F97" s="11" t="str">
        <f>IFERROR(VLOOKUP($C97,Спр_Измерения!$A$4:$F$16,4,0),"")</f>
        <v/>
      </c>
      <c r="G97" s="11" t="str">
        <f>IFERROR(VLOOKUP($C97,Спр_Измерения!$A$4:$F$16,5,0),"")</f>
        <v/>
      </c>
      <c r="H97" s="11" t="str">
        <f>IFERROR(VLOOKUP($C97,Спр_Измерения!$A$4:$G$16,6,0),"")</f>
        <v/>
      </c>
      <c r="I97" s="10"/>
      <c r="J97" s="11" t="str">
        <f>IFERROR(VLOOKUP($C97,Спр_Измерения!$A$4:$G$16,7,0),"")</f>
        <v/>
      </c>
      <c r="K97" s="9"/>
    </row>
    <row r="98">
      <c r="A98" s="10"/>
      <c r="B98" s="10"/>
      <c r="C98" s="10"/>
      <c r="D98" s="11" t="str">
        <f>IFERROR(VLOOKUP($C98,Спр_Измерения!$A$4:$F$16,2,0),"")</f>
        <v/>
      </c>
      <c r="E98" s="11" t="str">
        <f>IFERROR(VLOOKUP($C98,Спр_Измерения!$A$4:$F$16,3,0),"")</f>
        <v/>
      </c>
      <c r="F98" s="11" t="str">
        <f>IFERROR(VLOOKUP($C98,Спр_Измерения!$A$4:$F$16,4,0),"")</f>
        <v/>
      </c>
      <c r="G98" s="11" t="str">
        <f>IFERROR(VLOOKUP($C98,Спр_Измерения!$A$4:$F$16,5,0),"")</f>
        <v/>
      </c>
      <c r="H98" s="11" t="str">
        <f>IFERROR(VLOOKUP($C98,Спр_Измерения!$A$4:$G$16,6,0),"")</f>
        <v/>
      </c>
      <c r="I98" s="10"/>
      <c r="J98" s="11" t="str">
        <f>IFERROR(VLOOKUP($C98,Спр_Измерения!$A$4:$G$16,7,0),"")</f>
        <v/>
      </c>
      <c r="K98" s="9"/>
    </row>
    <row r="99">
      <c r="A99" s="10"/>
      <c r="B99" s="10"/>
      <c r="C99" s="10"/>
      <c r="D99" s="11" t="str">
        <f>IFERROR(VLOOKUP($C99,Спр_Измерения!$A$4:$F$16,2,0),"")</f>
        <v/>
      </c>
      <c r="E99" s="11" t="str">
        <f>IFERROR(VLOOKUP($C99,Спр_Измерения!$A$4:$F$16,3,0),"")</f>
        <v/>
      </c>
      <c r="F99" s="11" t="str">
        <f>IFERROR(VLOOKUP($C99,Спр_Измерения!$A$4:$F$16,4,0),"")</f>
        <v/>
      </c>
      <c r="G99" s="11" t="str">
        <f>IFERROR(VLOOKUP($C99,Спр_Измерения!$A$4:$F$16,5,0),"")</f>
        <v/>
      </c>
      <c r="H99" s="11" t="str">
        <f>IFERROR(VLOOKUP($C99,Спр_Измерения!$A$4:$G$16,6,0),"")</f>
        <v/>
      </c>
      <c r="I99" s="10"/>
      <c r="J99" s="11" t="str">
        <f>IFERROR(VLOOKUP($C99,Спр_Измерения!$A$4:$G$16,7,0),"")</f>
        <v/>
      </c>
      <c r="K99" s="9"/>
    </row>
    <row r="100">
      <c r="A100" s="10"/>
      <c r="B100" s="10"/>
      <c r="C100" s="10"/>
      <c r="D100" s="11" t="str">
        <f>IFERROR(VLOOKUP($C100,Спр_Измерения!$A$4:$F$16,2,0),"")</f>
        <v/>
      </c>
      <c r="E100" s="11" t="str">
        <f>IFERROR(VLOOKUP($C100,Спр_Измерения!$A$4:$F$16,3,0),"")</f>
        <v/>
      </c>
      <c r="F100" s="11" t="str">
        <f>IFERROR(VLOOKUP($C100,Спр_Измерения!$A$4:$F$16,4,0),"")</f>
        <v/>
      </c>
      <c r="G100" s="11" t="str">
        <f>IFERROR(VLOOKUP($C100,Спр_Измерения!$A$4:$F$16,5,0),"")</f>
        <v/>
      </c>
      <c r="H100" s="11" t="str">
        <f>IFERROR(VLOOKUP($C100,Спр_Измерения!$A$4:$G$16,6,0),"")</f>
        <v/>
      </c>
      <c r="I100" s="10"/>
      <c r="J100" s="11" t="str">
        <f>IFERROR(VLOOKUP($C100,Спр_Измерения!$A$4:$G$16,7,0),"")</f>
        <v/>
      </c>
      <c r="K100" s="9"/>
    </row>
    <row r="101">
      <c r="A101" s="10"/>
      <c r="B101" s="10"/>
      <c r="C101" s="10"/>
      <c r="D101" s="11" t="str">
        <f>IFERROR(VLOOKUP($C101,Спр_Измерения!$A$4:$F$16,2,0),"")</f>
        <v/>
      </c>
      <c r="E101" s="11" t="str">
        <f>IFERROR(VLOOKUP($C101,Спр_Измерения!$A$4:$F$16,3,0),"")</f>
        <v/>
      </c>
      <c r="F101" s="11" t="str">
        <f>IFERROR(VLOOKUP($C101,Спр_Измерения!$A$4:$F$16,4,0),"")</f>
        <v/>
      </c>
      <c r="G101" s="11" t="str">
        <f>IFERROR(VLOOKUP($C101,Спр_Измерения!$A$4:$F$16,5,0),"")</f>
        <v/>
      </c>
      <c r="H101" s="11" t="str">
        <f>IFERROR(VLOOKUP($C101,Спр_Измерения!$A$4:$G$16,6,0),"")</f>
        <v/>
      </c>
      <c r="I101" s="10"/>
      <c r="J101" s="11" t="str">
        <f>IFERROR(VLOOKUP($C101,Спр_Измерения!$A$4:$G$16,7,0),"")</f>
        <v/>
      </c>
      <c r="K101" s="9"/>
    </row>
    <row r="102">
      <c r="A102" s="10"/>
      <c r="B102" s="10"/>
      <c r="C102" s="10"/>
      <c r="D102" s="11" t="str">
        <f>IFERROR(VLOOKUP($C102,Спр_Измерения!$A$4:$F$16,2,0),"")</f>
        <v/>
      </c>
      <c r="E102" s="11" t="str">
        <f>IFERROR(VLOOKUP($C102,Спр_Измерения!$A$4:$F$16,3,0),"")</f>
        <v/>
      </c>
      <c r="F102" s="11" t="str">
        <f>IFERROR(VLOOKUP($C102,Спр_Измерения!$A$4:$F$16,4,0),"")</f>
        <v/>
      </c>
      <c r="G102" s="11" t="str">
        <f>IFERROR(VLOOKUP($C102,Спр_Измерения!$A$4:$F$16,5,0),"")</f>
        <v/>
      </c>
      <c r="H102" s="11" t="str">
        <f>IFERROR(VLOOKUP($C102,Спр_Измерения!$A$4:$G$16,6,0),"")</f>
        <v/>
      </c>
      <c r="I102" s="10"/>
      <c r="J102" s="11" t="str">
        <f>IFERROR(VLOOKUP($C102,Спр_Измерения!$A$4:$G$16,7,0),"")</f>
        <v/>
      </c>
      <c r="K102" s="9"/>
    </row>
    <row r="103">
      <c r="A103" s="10"/>
      <c r="B103" s="10"/>
      <c r="C103" s="10"/>
      <c r="D103" s="11" t="str">
        <f>IFERROR(VLOOKUP($C103,Спр_Измерения!$A$4:$F$16,2,0),"")</f>
        <v/>
      </c>
      <c r="E103" s="11" t="str">
        <f>IFERROR(VLOOKUP($C103,Спр_Измерения!$A$4:$F$16,3,0),"")</f>
        <v/>
      </c>
      <c r="F103" s="11" t="str">
        <f>IFERROR(VLOOKUP($C103,Спр_Измерения!$A$4:$F$16,4,0),"")</f>
        <v/>
      </c>
      <c r="G103" s="11" t="str">
        <f>IFERROR(VLOOKUP($C103,Спр_Измерения!$A$4:$F$16,5,0),"")</f>
        <v/>
      </c>
      <c r="H103" s="11" t="str">
        <f>IFERROR(VLOOKUP($C103,Спр_Измерения!$A$4:$G$16,6,0),"")</f>
        <v/>
      </c>
      <c r="I103" s="10"/>
      <c r="J103" s="11" t="str">
        <f>IFERROR(VLOOKUP($C103,Спр_Измерения!$A$4:$G$16,7,0),"")</f>
        <v/>
      </c>
      <c r="K103" s="9"/>
    </row>
    <row r="104">
      <c r="A104" s="10"/>
      <c r="B104" s="10"/>
      <c r="C104" s="10"/>
      <c r="D104" s="11" t="str">
        <f>IFERROR(VLOOKUP($C104,Спр_Измерения!$A$4:$F$16,2,0),"")</f>
        <v/>
      </c>
      <c r="E104" s="11" t="str">
        <f>IFERROR(VLOOKUP($C104,Спр_Измерения!$A$4:$F$16,3,0),"")</f>
        <v/>
      </c>
      <c r="F104" s="11" t="str">
        <f>IFERROR(VLOOKUP($C104,Спр_Измерения!$A$4:$F$16,4,0),"")</f>
        <v/>
      </c>
      <c r="G104" s="11" t="str">
        <f>IFERROR(VLOOKUP($C104,Спр_Измерения!$A$4:$F$16,5,0),"")</f>
        <v/>
      </c>
      <c r="H104" s="11" t="str">
        <f>IFERROR(VLOOKUP($C104,Спр_Измерения!$A$4:$G$16,6,0),"")</f>
        <v/>
      </c>
      <c r="I104" s="10"/>
      <c r="J104" s="11" t="str">
        <f>IFERROR(VLOOKUP($C104,Спр_Измерения!$A$4:$G$16,7,0),"")</f>
        <v/>
      </c>
      <c r="K104" s="9"/>
    </row>
    <row r="105">
      <c r="A105" s="10"/>
      <c r="B105" s="10"/>
      <c r="C105" s="10"/>
      <c r="D105" s="11" t="str">
        <f>IFERROR(VLOOKUP($C105,Спр_Измерения!$A$4:$F$16,2,0),"")</f>
        <v/>
      </c>
      <c r="E105" s="11" t="str">
        <f>IFERROR(VLOOKUP($C105,Спр_Измерения!$A$4:$F$16,3,0),"")</f>
        <v/>
      </c>
      <c r="F105" s="11" t="str">
        <f>IFERROR(VLOOKUP($C105,Спр_Измерения!$A$4:$F$16,4,0),"")</f>
        <v/>
      </c>
      <c r="G105" s="11" t="str">
        <f>IFERROR(VLOOKUP($C105,Спр_Измерения!$A$4:$F$16,5,0),"")</f>
        <v/>
      </c>
      <c r="H105" s="11" t="str">
        <f>IFERROR(VLOOKUP($C105,Спр_Измерения!$A$4:$G$16,6,0),"")</f>
        <v/>
      </c>
      <c r="I105" s="10"/>
      <c r="J105" s="11" t="str">
        <f>IFERROR(VLOOKUP($C105,Спр_Измерения!$A$4:$G$16,7,0),"")</f>
        <v/>
      </c>
      <c r="K105" s="9"/>
    </row>
    <row r="106">
      <c r="A106" s="10"/>
      <c r="B106" s="10"/>
      <c r="C106" s="10"/>
      <c r="D106" s="11" t="str">
        <f>IFERROR(VLOOKUP($C106,Спр_Измерения!$A$4:$F$16,2,0),"")</f>
        <v/>
      </c>
      <c r="E106" s="11" t="str">
        <f>IFERROR(VLOOKUP($C106,Спр_Измерения!$A$4:$F$16,3,0),"")</f>
        <v/>
      </c>
      <c r="F106" s="11" t="str">
        <f>IFERROR(VLOOKUP($C106,Спр_Измерения!$A$4:$F$16,4,0),"")</f>
        <v/>
      </c>
      <c r="G106" s="11" t="str">
        <f>IFERROR(VLOOKUP($C106,Спр_Измерения!$A$4:$F$16,5,0),"")</f>
        <v/>
      </c>
      <c r="H106" s="11" t="str">
        <f>IFERROR(VLOOKUP($C106,Спр_Измерения!$A$4:$G$16,6,0),"")</f>
        <v/>
      </c>
      <c r="I106" s="10"/>
      <c r="J106" s="11" t="str">
        <f>IFERROR(VLOOKUP($C106,Спр_Измерения!$A$4:$G$16,7,0),"")</f>
        <v/>
      </c>
      <c r="K106" s="9"/>
    </row>
    <row r="107">
      <c r="A107" s="10"/>
      <c r="B107" s="10"/>
      <c r="C107" s="10"/>
      <c r="D107" s="11" t="str">
        <f>IFERROR(VLOOKUP($C107,Спр_Измерения!$A$4:$F$16,2,0),"")</f>
        <v/>
      </c>
      <c r="E107" s="11" t="str">
        <f>IFERROR(VLOOKUP($C107,Спр_Измерения!$A$4:$F$16,3,0),"")</f>
        <v/>
      </c>
      <c r="F107" s="11" t="str">
        <f>IFERROR(VLOOKUP($C107,Спр_Измерения!$A$4:$F$16,4,0),"")</f>
        <v/>
      </c>
      <c r="G107" s="11" t="str">
        <f>IFERROR(VLOOKUP($C107,Спр_Измерения!$A$4:$F$16,5,0),"")</f>
        <v/>
      </c>
      <c r="H107" s="11" t="str">
        <f>IFERROR(VLOOKUP($C107,Спр_Измерения!$A$4:$G$16,6,0),"")</f>
        <v/>
      </c>
      <c r="I107" s="10"/>
      <c r="J107" s="11" t="str">
        <f>IFERROR(VLOOKUP($C107,Спр_Измерения!$A$4:$G$16,7,0),"")</f>
        <v/>
      </c>
      <c r="K107" s="9"/>
    </row>
    <row r="108">
      <c r="A108" s="10"/>
      <c r="B108" s="10"/>
      <c r="C108" s="10"/>
      <c r="D108" s="11" t="str">
        <f>IFERROR(VLOOKUP($C108,Спр_Измерения!$A$4:$F$16,2,0),"")</f>
        <v/>
      </c>
      <c r="E108" s="11" t="str">
        <f>IFERROR(VLOOKUP($C108,Спр_Измерения!$A$4:$F$16,3,0),"")</f>
        <v/>
      </c>
      <c r="F108" s="11" t="str">
        <f>IFERROR(VLOOKUP($C108,Спр_Измерения!$A$4:$F$16,4,0),"")</f>
        <v/>
      </c>
      <c r="G108" s="11" t="str">
        <f>IFERROR(VLOOKUP($C108,Спр_Измерения!$A$4:$F$16,5,0),"")</f>
        <v/>
      </c>
      <c r="H108" s="11" t="str">
        <f>IFERROR(VLOOKUP($C108,Спр_Измерения!$A$4:$G$16,6,0),"")</f>
        <v/>
      </c>
      <c r="I108" s="10"/>
      <c r="J108" s="11" t="str">
        <f>IFERROR(VLOOKUP($C108,Спр_Измерения!$A$4:$G$16,7,0),"")</f>
        <v/>
      </c>
      <c r="K108" s="9"/>
    </row>
    <row r="109">
      <c r="A109" s="10"/>
      <c r="B109" s="10"/>
      <c r="C109" s="10"/>
      <c r="D109" s="11" t="str">
        <f>IFERROR(VLOOKUP($C109,Спр_Измерения!$A$4:$F$16,2,0),"")</f>
        <v/>
      </c>
      <c r="E109" s="11" t="str">
        <f>IFERROR(VLOOKUP($C109,Спр_Измерения!$A$4:$F$16,3,0),"")</f>
        <v/>
      </c>
      <c r="F109" s="11" t="str">
        <f>IFERROR(VLOOKUP($C109,Спр_Измерения!$A$4:$F$16,4,0),"")</f>
        <v/>
      </c>
      <c r="G109" s="11" t="str">
        <f>IFERROR(VLOOKUP($C109,Спр_Измерения!$A$4:$F$16,5,0),"")</f>
        <v/>
      </c>
      <c r="H109" s="11" t="str">
        <f>IFERROR(VLOOKUP($C109,Спр_Измерения!$A$4:$G$16,6,0),"")</f>
        <v/>
      </c>
      <c r="I109" s="10"/>
      <c r="J109" s="11" t="str">
        <f>IFERROR(VLOOKUP($C109,Спр_Измерения!$A$4:$G$16,7,0),"")</f>
        <v/>
      </c>
      <c r="K109" s="9"/>
    </row>
    <row r="110">
      <c r="A110" s="10"/>
      <c r="B110" s="10"/>
      <c r="C110" s="10"/>
      <c r="D110" s="11" t="str">
        <f>IFERROR(VLOOKUP($C110,Спр_Измерения!$A$4:$F$16,2,0),"")</f>
        <v/>
      </c>
      <c r="E110" s="11" t="str">
        <f>IFERROR(VLOOKUP($C110,Спр_Измерения!$A$4:$F$16,3,0),"")</f>
        <v/>
      </c>
      <c r="F110" s="11" t="str">
        <f>IFERROR(VLOOKUP($C110,Спр_Измерения!$A$4:$F$16,4,0),"")</f>
        <v/>
      </c>
      <c r="G110" s="11" t="str">
        <f>IFERROR(VLOOKUP($C110,Спр_Измерения!$A$4:$F$16,5,0),"")</f>
        <v/>
      </c>
      <c r="H110" s="11" t="str">
        <f>IFERROR(VLOOKUP($C110,Спр_Измерения!$A$4:$G$16,6,0),"")</f>
        <v/>
      </c>
      <c r="I110" s="10"/>
      <c r="J110" s="11" t="str">
        <f>IFERROR(VLOOKUP($C110,Спр_Измерения!$A$4:$G$16,7,0),"")</f>
        <v/>
      </c>
      <c r="K110" s="9"/>
    </row>
    <row r="111">
      <c r="A111" s="10"/>
      <c r="B111" s="10"/>
      <c r="C111" s="10"/>
      <c r="D111" s="11" t="str">
        <f>IFERROR(VLOOKUP($C111,Спр_Измерения!$A$4:$F$16,2,0),"")</f>
        <v/>
      </c>
      <c r="E111" s="11" t="str">
        <f>IFERROR(VLOOKUP($C111,Спр_Измерения!$A$4:$F$16,3,0),"")</f>
        <v/>
      </c>
      <c r="F111" s="11" t="str">
        <f>IFERROR(VLOOKUP($C111,Спр_Измерения!$A$4:$F$16,4,0),"")</f>
        <v/>
      </c>
      <c r="G111" s="11" t="str">
        <f>IFERROR(VLOOKUP($C111,Спр_Измерения!$A$4:$F$16,5,0),"")</f>
        <v/>
      </c>
      <c r="H111" s="11" t="str">
        <f>IFERROR(VLOOKUP($C111,Спр_Измерения!$A$4:$G$16,6,0),"")</f>
        <v/>
      </c>
      <c r="I111" s="10"/>
      <c r="J111" s="11" t="str">
        <f>IFERROR(VLOOKUP($C111,Спр_Измерения!$A$4:$G$16,7,0),"")</f>
        <v/>
      </c>
      <c r="K111" s="9"/>
    </row>
    <row r="112">
      <c r="A112" s="10"/>
      <c r="B112" s="10"/>
      <c r="C112" s="10"/>
      <c r="D112" s="11" t="str">
        <f>IFERROR(VLOOKUP($C112,Спр_Измерения!$A$4:$F$16,2,0),"")</f>
        <v/>
      </c>
      <c r="E112" s="11" t="str">
        <f>IFERROR(VLOOKUP($C112,Спр_Измерения!$A$4:$F$16,3,0),"")</f>
        <v/>
      </c>
      <c r="F112" s="11" t="str">
        <f>IFERROR(VLOOKUP($C112,Спр_Измерения!$A$4:$F$16,4,0),"")</f>
        <v/>
      </c>
      <c r="G112" s="11" t="str">
        <f>IFERROR(VLOOKUP($C112,Спр_Измерения!$A$4:$F$16,5,0),"")</f>
        <v/>
      </c>
      <c r="H112" s="11" t="str">
        <f>IFERROR(VLOOKUP($C112,Спр_Измерения!$A$4:$G$16,6,0),"")</f>
        <v/>
      </c>
      <c r="I112" s="10"/>
      <c r="J112" s="11" t="str">
        <f>IFERROR(VLOOKUP($C112,Спр_Измерения!$A$4:$G$16,7,0),"")</f>
        <v/>
      </c>
      <c r="K112" s="9"/>
    </row>
    <row r="113">
      <c r="A113" s="10"/>
      <c r="B113" s="10"/>
      <c r="C113" s="10"/>
      <c r="D113" s="11" t="str">
        <f>IFERROR(VLOOKUP($C113,Спр_Измерения!$A$4:$F$16,2,0),"")</f>
        <v/>
      </c>
      <c r="E113" s="11" t="str">
        <f>IFERROR(VLOOKUP($C113,Спр_Измерения!$A$4:$F$16,3,0),"")</f>
        <v/>
      </c>
      <c r="F113" s="11" t="str">
        <f>IFERROR(VLOOKUP($C113,Спр_Измерения!$A$4:$F$16,4,0),"")</f>
        <v/>
      </c>
      <c r="G113" s="11" t="str">
        <f>IFERROR(VLOOKUP($C113,Спр_Измерения!$A$4:$F$16,5,0),"")</f>
        <v/>
      </c>
      <c r="H113" s="11" t="str">
        <f>IFERROR(VLOOKUP($C113,Спр_Измерения!$A$4:$G$16,6,0),"")</f>
        <v/>
      </c>
      <c r="I113" s="10"/>
      <c r="J113" s="11" t="str">
        <f>IFERROR(VLOOKUP($C113,Спр_Измерения!$A$4:$G$16,7,0),"")</f>
        <v/>
      </c>
      <c r="K113" s="9"/>
    </row>
    <row r="114">
      <c r="A114" s="10"/>
      <c r="B114" s="10"/>
      <c r="C114" s="10"/>
      <c r="D114" s="11" t="str">
        <f>IFERROR(VLOOKUP($C114,Спр_Измерения!$A$4:$F$16,2,0),"")</f>
        <v/>
      </c>
      <c r="E114" s="11" t="str">
        <f>IFERROR(VLOOKUP($C114,Спр_Измерения!$A$4:$F$16,3,0),"")</f>
        <v/>
      </c>
      <c r="F114" s="11" t="str">
        <f>IFERROR(VLOOKUP($C114,Спр_Измерения!$A$4:$F$16,4,0),"")</f>
        <v/>
      </c>
      <c r="G114" s="11" t="str">
        <f>IFERROR(VLOOKUP($C114,Спр_Измерения!$A$4:$F$16,5,0),"")</f>
        <v/>
      </c>
      <c r="H114" s="11" t="str">
        <f>IFERROR(VLOOKUP($C114,Спр_Измерения!$A$4:$G$16,6,0),"")</f>
        <v/>
      </c>
      <c r="I114" s="10"/>
      <c r="J114" s="11" t="str">
        <f>IFERROR(VLOOKUP($C114,Спр_Измерения!$A$4:$G$16,7,0),"")</f>
        <v/>
      </c>
      <c r="K114" s="9"/>
    </row>
    <row r="115">
      <c r="A115" s="10"/>
      <c r="B115" s="10"/>
      <c r="C115" s="10"/>
      <c r="D115" s="11" t="str">
        <f>IFERROR(VLOOKUP($C115,Спр_Измерения!$A$4:$F$16,2,0),"")</f>
        <v/>
      </c>
      <c r="E115" s="11" t="str">
        <f>IFERROR(VLOOKUP($C115,Спр_Измерения!$A$4:$F$16,3,0),"")</f>
        <v/>
      </c>
      <c r="F115" s="11" t="str">
        <f>IFERROR(VLOOKUP($C115,Спр_Измерения!$A$4:$F$16,4,0),"")</f>
        <v/>
      </c>
      <c r="G115" s="11" t="str">
        <f>IFERROR(VLOOKUP($C115,Спр_Измерения!$A$4:$F$16,5,0),"")</f>
        <v/>
      </c>
      <c r="H115" s="11" t="str">
        <f>IFERROR(VLOOKUP($C115,Спр_Измерения!$A$4:$G$16,6,0),"")</f>
        <v/>
      </c>
      <c r="I115" s="10"/>
      <c r="J115" s="11" t="str">
        <f>IFERROR(VLOOKUP($C115,Спр_Измерения!$A$4:$G$16,7,0),"")</f>
        <v/>
      </c>
      <c r="K115" s="9"/>
    </row>
    <row r="116">
      <c r="A116" s="10"/>
      <c r="B116" s="10"/>
      <c r="C116" s="10"/>
      <c r="D116" s="11" t="str">
        <f>IFERROR(VLOOKUP($C116,Спр_Измерения!$A$4:$F$16,2,0),"")</f>
        <v/>
      </c>
      <c r="E116" s="11" t="str">
        <f>IFERROR(VLOOKUP($C116,Спр_Измерения!$A$4:$F$16,3,0),"")</f>
        <v/>
      </c>
      <c r="F116" s="11" t="str">
        <f>IFERROR(VLOOKUP($C116,Спр_Измерения!$A$4:$F$16,4,0),"")</f>
        <v/>
      </c>
      <c r="G116" s="11" t="str">
        <f>IFERROR(VLOOKUP($C116,Спр_Измерения!$A$4:$F$16,5,0),"")</f>
        <v/>
      </c>
      <c r="H116" s="11" t="str">
        <f>IFERROR(VLOOKUP($C116,Спр_Измерения!$A$4:$G$16,6,0),"")</f>
        <v/>
      </c>
      <c r="I116" s="10"/>
      <c r="J116" s="11" t="str">
        <f>IFERROR(VLOOKUP($C116,Спр_Измерения!$A$4:$G$16,7,0),"")</f>
        <v/>
      </c>
      <c r="K116" s="9"/>
    </row>
    <row r="117">
      <c r="A117" s="10"/>
      <c r="B117" s="10"/>
      <c r="C117" s="10"/>
      <c r="D117" s="11" t="str">
        <f>IFERROR(VLOOKUP($C117,Спр_Измерения!$A$4:$F$16,2,0),"")</f>
        <v/>
      </c>
      <c r="E117" s="11" t="str">
        <f>IFERROR(VLOOKUP($C117,Спр_Измерения!$A$4:$F$16,3,0),"")</f>
        <v/>
      </c>
      <c r="F117" s="11" t="str">
        <f>IFERROR(VLOOKUP($C117,Спр_Измерения!$A$4:$F$16,4,0),"")</f>
        <v/>
      </c>
      <c r="G117" s="11" t="str">
        <f>IFERROR(VLOOKUP($C117,Спр_Измерения!$A$4:$F$16,5,0),"")</f>
        <v/>
      </c>
      <c r="H117" s="11" t="str">
        <f>IFERROR(VLOOKUP($C117,Спр_Измерения!$A$4:$G$16,6,0),"")</f>
        <v/>
      </c>
      <c r="I117" s="10"/>
      <c r="J117" s="11" t="str">
        <f>IFERROR(VLOOKUP($C117,Спр_Измерения!$A$4:$G$16,7,0),"")</f>
        <v/>
      </c>
      <c r="K117" s="9"/>
    </row>
    <row r="118">
      <c r="A118" s="10"/>
      <c r="B118" s="10"/>
      <c r="C118" s="10"/>
      <c r="D118" s="11" t="str">
        <f>IFERROR(VLOOKUP($C118,Спр_Измерения!$A$4:$F$16,2,0),"")</f>
        <v/>
      </c>
      <c r="E118" s="11" t="str">
        <f>IFERROR(VLOOKUP($C118,Спр_Измерения!$A$4:$F$16,3,0),"")</f>
        <v/>
      </c>
      <c r="F118" s="11" t="str">
        <f>IFERROR(VLOOKUP($C118,Спр_Измерения!$A$4:$F$16,4,0),"")</f>
        <v/>
      </c>
      <c r="G118" s="11" t="str">
        <f>IFERROR(VLOOKUP($C118,Спр_Измерения!$A$4:$F$16,5,0),"")</f>
        <v/>
      </c>
      <c r="H118" s="11" t="str">
        <f>IFERROR(VLOOKUP($C118,Спр_Измерения!$A$4:$G$16,6,0),"")</f>
        <v/>
      </c>
      <c r="I118" s="10"/>
      <c r="J118" s="11" t="str">
        <f>IFERROR(VLOOKUP($C118,Спр_Измерения!$A$4:$G$16,7,0),"")</f>
        <v/>
      </c>
      <c r="K118" s="9"/>
    </row>
    <row r="119">
      <c r="A119" s="10"/>
      <c r="B119" s="10"/>
      <c r="C119" s="10"/>
      <c r="D119" s="11" t="str">
        <f>IFERROR(VLOOKUP($C119,Спр_Измерения!$A$4:$F$16,2,0),"")</f>
        <v/>
      </c>
      <c r="E119" s="11" t="str">
        <f>IFERROR(VLOOKUP($C119,Спр_Измерения!$A$4:$F$16,3,0),"")</f>
        <v/>
      </c>
      <c r="F119" s="11" t="str">
        <f>IFERROR(VLOOKUP($C119,Спр_Измерения!$A$4:$F$16,4,0),"")</f>
        <v/>
      </c>
      <c r="G119" s="11" t="str">
        <f>IFERROR(VLOOKUP($C119,Спр_Измерения!$A$4:$F$16,5,0),"")</f>
        <v/>
      </c>
      <c r="H119" s="11" t="str">
        <f>IFERROR(VLOOKUP($C119,Спр_Измерения!$A$4:$G$16,6,0),"")</f>
        <v/>
      </c>
      <c r="I119" s="10"/>
      <c r="J119" s="11" t="str">
        <f>IFERROR(VLOOKUP($C119,Спр_Измерения!$A$4:$G$16,7,0),"")</f>
        <v/>
      </c>
      <c r="K119" s="9"/>
    </row>
    <row r="120">
      <c r="A120" s="10"/>
      <c r="B120" s="10"/>
      <c r="C120" s="10"/>
      <c r="D120" s="11" t="str">
        <f>IFERROR(VLOOKUP($C120,Спр_Измерения!$A$4:$F$16,2,0),"")</f>
        <v/>
      </c>
      <c r="E120" s="11" t="str">
        <f>IFERROR(VLOOKUP($C120,Спр_Измерения!$A$4:$F$16,3,0),"")</f>
        <v/>
      </c>
      <c r="F120" s="11" t="str">
        <f>IFERROR(VLOOKUP($C120,Спр_Измерения!$A$4:$F$16,4,0),"")</f>
        <v/>
      </c>
      <c r="G120" s="11" t="str">
        <f>IFERROR(VLOOKUP($C120,Спр_Измерения!$A$4:$F$16,5,0),"")</f>
        <v/>
      </c>
      <c r="H120" s="11" t="str">
        <f>IFERROR(VLOOKUP($C120,Спр_Измерения!$A$4:$G$16,6,0),"")</f>
        <v/>
      </c>
      <c r="I120" s="10"/>
      <c r="J120" s="11" t="str">
        <f>IFERROR(VLOOKUP($C120,Спр_Измерения!$A$4:$G$16,7,0),"")</f>
        <v/>
      </c>
      <c r="K120" s="9"/>
    </row>
    <row r="121">
      <c r="A121" s="10"/>
      <c r="B121" s="10"/>
      <c r="C121" s="10"/>
      <c r="D121" s="11" t="str">
        <f>IFERROR(VLOOKUP($C121,Спр_Измерения!$A$4:$F$16,2,0),"")</f>
        <v/>
      </c>
      <c r="E121" s="11" t="str">
        <f>IFERROR(VLOOKUP($C121,Спр_Измерения!$A$4:$F$16,3,0),"")</f>
        <v/>
      </c>
      <c r="F121" s="11" t="str">
        <f>IFERROR(VLOOKUP($C121,Спр_Измерения!$A$4:$F$16,4,0),"")</f>
        <v/>
      </c>
      <c r="G121" s="11" t="str">
        <f>IFERROR(VLOOKUP($C121,Спр_Измерения!$A$4:$F$16,5,0),"")</f>
        <v/>
      </c>
      <c r="H121" s="11" t="str">
        <f>IFERROR(VLOOKUP($C121,Спр_Измерения!$A$4:$G$16,6,0),"")</f>
        <v/>
      </c>
      <c r="I121" s="10"/>
      <c r="J121" s="11" t="str">
        <f>IFERROR(VLOOKUP($C121,Спр_Измерения!$A$4:$G$16,7,0),"")</f>
        <v/>
      </c>
      <c r="K121" s="9"/>
    </row>
    <row r="122">
      <c r="A122" s="10"/>
      <c r="B122" s="10"/>
      <c r="C122" s="10"/>
      <c r="D122" s="11" t="str">
        <f>IFERROR(VLOOKUP($C122,Спр_Измерения!$A$4:$F$16,2,0),"")</f>
        <v/>
      </c>
      <c r="E122" s="11" t="str">
        <f>IFERROR(VLOOKUP($C122,Спр_Измерения!$A$4:$F$16,3,0),"")</f>
        <v/>
      </c>
      <c r="F122" s="11" t="str">
        <f>IFERROR(VLOOKUP($C122,Спр_Измерения!$A$4:$F$16,4,0),"")</f>
        <v/>
      </c>
      <c r="G122" s="11" t="str">
        <f>IFERROR(VLOOKUP($C122,Спр_Измерения!$A$4:$F$16,5,0),"")</f>
        <v/>
      </c>
      <c r="H122" s="11" t="str">
        <f>IFERROR(VLOOKUP($C122,Спр_Измерения!$A$4:$G$16,6,0),"")</f>
        <v/>
      </c>
      <c r="I122" s="10"/>
      <c r="J122" s="11" t="str">
        <f>IFERROR(VLOOKUP($C122,Спр_Измерения!$A$4:$G$16,7,0),"")</f>
        <v/>
      </c>
      <c r="K122" s="9"/>
    </row>
    <row r="123">
      <c r="A123" s="10"/>
      <c r="B123" s="10"/>
      <c r="C123" s="10"/>
      <c r="D123" s="11" t="str">
        <f>IFERROR(VLOOKUP($C123,Спр_Измерения!$A$4:$F$16,2,0),"")</f>
        <v/>
      </c>
      <c r="E123" s="11" t="str">
        <f>IFERROR(VLOOKUP($C123,Спр_Измерения!$A$4:$F$16,3,0),"")</f>
        <v/>
      </c>
      <c r="F123" s="11" t="str">
        <f>IFERROR(VLOOKUP($C123,Спр_Измерения!$A$4:$F$16,4,0),"")</f>
        <v/>
      </c>
      <c r="G123" s="11" t="str">
        <f>IFERROR(VLOOKUP($C123,Спр_Измерения!$A$4:$F$16,5,0),"")</f>
        <v/>
      </c>
      <c r="H123" s="11" t="str">
        <f>IFERROR(VLOOKUP($C123,Спр_Измерения!$A$4:$G$16,6,0),"")</f>
        <v/>
      </c>
      <c r="I123" s="10"/>
      <c r="J123" s="11" t="str">
        <f>IFERROR(VLOOKUP($C123,Спр_Измерения!$A$4:$G$16,7,0),"")</f>
        <v/>
      </c>
      <c r="K123" s="9"/>
    </row>
    <row r="124">
      <c r="A124" s="10"/>
      <c r="B124" s="10"/>
      <c r="C124" s="10"/>
      <c r="D124" s="11" t="str">
        <f>IFERROR(VLOOKUP($C124,Спр_Измерения!$A$4:$F$16,2,0),"")</f>
        <v/>
      </c>
      <c r="E124" s="11" t="str">
        <f>IFERROR(VLOOKUP($C124,Спр_Измерения!$A$4:$F$16,3,0),"")</f>
        <v/>
      </c>
      <c r="F124" s="11" t="str">
        <f>IFERROR(VLOOKUP($C124,Спр_Измерения!$A$4:$F$16,4,0),"")</f>
        <v/>
      </c>
      <c r="G124" s="11" t="str">
        <f>IFERROR(VLOOKUP($C124,Спр_Измерения!$A$4:$F$16,5,0),"")</f>
        <v/>
      </c>
      <c r="H124" s="11" t="str">
        <f>IFERROR(VLOOKUP($C124,Спр_Измерения!$A$4:$G$16,6,0),"")</f>
        <v/>
      </c>
      <c r="I124" s="10"/>
      <c r="J124" s="11" t="str">
        <f>IFERROR(VLOOKUP($C124,Спр_Измерения!$A$4:$G$16,7,0),"")</f>
        <v/>
      </c>
      <c r="K124" s="9"/>
    </row>
    <row r="125">
      <c r="A125" s="10"/>
      <c r="B125" s="10"/>
      <c r="C125" s="10"/>
      <c r="D125" s="11" t="str">
        <f>IFERROR(VLOOKUP($C125,Спр_Измерения!$A$4:$F$16,2,0),"")</f>
        <v/>
      </c>
      <c r="E125" s="11" t="str">
        <f>IFERROR(VLOOKUP($C125,Спр_Измерения!$A$4:$F$16,3,0),"")</f>
        <v/>
      </c>
      <c r="F125" s="11" t="str">
        <f>IFERROR(VLOOKUP($C125,Спр_Измерения!$A$4:$F$16,4,0),"")</f>
        <v/>
      </c>
      <c r="G125" s="11" t="str">
        <f>IFERROR(VLOOKUP($C125,Спр_Измерения!$A$4:$F$16,5,0),"")</f>
        <v/>
      </c>
      <c r="H125" s="11" t="str">
        <f>IFERROR(VLOOKUP($C125,Спр_Измерения!$A$4:$G$16,6,0),"")</f>
        <v/>
      </c>
      <c r="I125" s="10"/>
      <c r="J125" s="11" t="str">
        <f>IFERROR(VLOOKUP($C125,Спр_Измерения!$A$4:$G$16,7,0),"")</f>
        <v/>
      </c>
      <c r="K125" s="9"/>
    </row>
    <row r="126">
      <c r="A126" s="10"/>
      <c r="B126" s="10"/>
      <c r="C126" s="10"/>
      <c r="D126" s="11" t="str">
        <f>IFERROR(VLOOKUP($C126,Спр_Измерения!$A$4:$F$16,2,0),"")</f>
        <v/>
      </c>
      <c r="E126" s="11" t="str">
        <f>IFERROR(VLOOKUP($C126,Спр_Измерения!$A$4:$F$16,3,0),"")</f>
        <v/>
      </c>
      <c r="F126" s="11" t="str">
        <f>IFERROR(VLOOKUP($C126,Спр_Измерения!$A$4:$F$16,4,0),"")</f>
        <v/>
      </c>
      <c r="G126" s="11" t="str">
        <f>IFERROR(VLOOKUP($C126,Спр_Измерения!$A$4:$F$16,5,0),"")</f>
        <v/>
      </c>
      <c r="H126" s="11" t="str">
        <f>IFERROR(VLOOKUP($C126,Спр_Измерения!$A$4:$G$16,6,0),"")</f>
        <v/>
      </c>
      <c r="I126" s="10"/>
      <c r="J126" s="11" t="str">
        <f>IFERROR(VLOOKUP($C126,Спр_Измерения!$A$4:$G$16,7,0),"")</f>
        <v/>
      </c>
      <c r="K126" s="9"/>
    </row>
    <row r="127">
      <c r="A127" s="10"/>
      <c r="B127" s="10"/>
      <c r="C127" s="10"/>
      <c r="D127" s="11" t="str">
        <f>IFERROR(VLOOKUP($C127,Спр_Измерения!$A$4:$F$16,2,0),"")</f>
        <v/>
      </c>
      <c r="E127" s="11" t="str">
        <f>IFERROR(VLOOKUP($C127,Спр_Измерения!$A$4:$F$16,3,0),"")</f>
        <v/>
      </c>
      <c r="F127" s="11" t="str">
        <f>IFERROR(VLOOKUP($C127,Спр_Измерения!$A$4:$F$16,4,0),"")</f>
        <v/>
      </c>
      <c r="G127" s="11" t="str">
        <f>IFERROR(VLOOKUP($C127,Спр_Измерения!$A$4:$F$16,5,0),"")</f>
        <v/>
      </c>
      <c r="H127" s="11" t="str">
        <f>IFERROR(VLOOKUP($C127,Спр_Измерения!$A$4:$G$16,6,0),"")</f>
        <v/>
      </c>
      <c r="I127" s="10"/>
      <c r="J127" s="11" t="str">
        <f>IFERROR(VLOOKUP($C127,Спр_Измерения!$A$4:$G$16,7,0),"")</f>
        <v/>
      </c>
      <c r="K127" s="9"/>
    </row>
    <row r="128">
      <c r="A128" s="10"/>
      <c r="B128" s="10"/>
      <c r="C128" s="10"/>
      <c r="D128" s="11" t="str">
        <f>IFERROR(VLOOKUP($C128,Спр_Измерения!$A$4:$F$16,2,0),"")</f>
        <v/>
      </c>
      <c r="E128" s="11" t="str">
        <f>IFERROR(VLOOKUP($C128,Спр_Измерения!$A$4:$F$16,3,0),"")</f>
        <v/>
      </c>
      <c r="F128" s="11" t="str">
        <f>IFERROR(VLOOKUP($C128,Спр_Измерения!$A$4:$F$16,4,0),"")</f>
        <v/>
      </c>
      <c r="G128" s="11" t="str">
        <f>IFERROR(VLOOKUP($C128,Спр_Измерения!$A$4:$F$16,5,0),"")</f>
        <v/>
      </c>
      <c r="H128" s="11" t="str">
        <f>IFERROR(VLOOKUP($C128,Спр_Измерения!$A$4:$G$16,6,0),"")</f>
        <v/>
      </c>
      <c r="I128" s="10"/>
      <c r="J128" s="11" t="str">
        <f>IFERROR(VLOOKUP($C128,Спр_Измерения!$A$4:$G$16,7,0),"")</f>
        <v/>
      </c>
      <c r="K128" s="9"/>
    </row>
    <row r="129">
      <c r="A129" s="10"/>
      <c r="B129" s="10"/>
      <c r="C129" s="10"/>
      <c r="D129" s="11" t="str">
        <f>IFERROR(VLOOKUP($C129,Спр_Измерения!$A$4:$F$16,2,0),"")</f>
        <v/>
      </c>
      <c r="E129" s="11" t="str">
        <f>IFERROR(VLOOKUP($C129,Спр_Измерения!$A$4:$F$16,3,0),"")</f>
        <v/>
      </c>
      <c r="F129" s="11" t="str">
        <f>IFERROR(VLOOKUP($C129,Спр_Измерения!$A$4:$F$16,4,0),"")</f>
        <v/>
      </c>
      <c r="G129" s="11" t="str">
        <f>IFERROR(VLOOKUP($C129,Спр_Измерения!$A$4:$F$16,5,0),"")</f>
        <v/>
      </c>
      <c r="H129" s="11" t="str">
        <f>IFERROR(VLOOKUP($C129,Спр_Измерения!$A$4:$G$16,6,0),"")</f>
        <v/>
      </c>
      <c r="I129" s="10"/>
      <c r="J129" s="11" t="str">
        <f>IFERROR(VLOOKUP($C129,Спр_Измерения!$A$4:$G$16,7,0),"")</f>
        <v/>
      </c>
      <c r="K129" s="9"/>
    </row>
    <row r="130">
      <c r="A130" s="10"/>
      <c r="B130" s="10"/>
      <c r="C130" s="10"/>
      <c r="D130" s="11" t="str">
        <f>IFERROR(VLOOKUP($C130,Спр_Измерения!$A$4:$F$16,2,0),"")</f>
        <v/>
      </c>
      <c r="E130" s="11" t="str">
        <f>IFERROR(VLOOKUP($C130,Спр_Измерения!$A$4:$F$16,3,0),"")</f>
        <v/>
      </c>
      <c r="F130" s="11" t="str">
        <f>IFERROR(VLOOKUP($C130,Спр_Измерения!$A$4:$F$16,4,0),"")</f>
        <v/>
      </c>
      <c r="G130" s="11" t="str">
        <f>IFERROR(VLOOKUP($C130,Спр_Измерения!$A$4:$F$16,5,0),"")</f>
        <v/>
      </c>
      <c r="H130" s="11" t="str">
        <f>IFERROR(VLOOKUP($C130,Спр_Измерения!$A$4:$G$16,6,0),"")</f>
        <v/>
      </c>
      <c r="I130" s="10"/>
      <c r="J130" s="11" t="str">
        <f>IFERROR(VLOOKUP($C130,Спр_Измерения!$A$4:$G$16,7,0),"")</f>
        <v/>
      </c>
      <c r="K130" s="9"/>
    </row>
    <row r="131">
      <c r="A131" s="10"/>
      <c r="B131" s="10"/>
      <c r="C131" s="10"/>
      <c r="D131" s="11" t="str">
        <f>IFERROR(VLOOKUP($C131,Спр_Измерения!$A$4:$F$16,2,0),"")</f>
        <v/>
      </c>
      <c r="E131" s="11" t="str">
        <f>IFERROR(VLOOKUP($C131,Спр_Измерения!$A$4:$F$16,3,0),"")</f>
        <v/>
      </c>
      <c r="F131" s="11" t="str">
        <f>IFERROR(VLOOKUP($C131,Спр_Измерения!$A$4:$F$16,4,0),"")</f>
        <v/>
      </c>
      <c r="G131" s="11" t="str">
        <f>IFERROR(VLOOKUP($C131,Спр_Измерения!$A$4:$F$16,5,0),"")</f>
        <v/>
      </c>
      <c r="H131" s="11" t="str">
        <f>IFERROR(VLOOKUP($C131,Спр_Измерения!$A$4:$G$16,6,0),"")</f>
        <v/>
      </c>
      <c r="I131" s="10"/>
      <c r="J131" s="11" t="str">
        <f>IFERROR(VLOOKUP($C131,Спр_Измерения!$A$4:$G$16,7,0),"")</f>
        <v/>
      </c>
      <c r="K131" s="9"/>
    </row>
    <row r="132">
      <c r="A132" s="10"/>
      <c r="B132" s="10"/>
      <c r="C132" s="10"/>
      <c r="D132" s="11" t="str">
        <f>IFERROR(VLOOKUP($C132,Спр_Измерения!$A$4:$F$16,2,0),"")</f>
        <v/>
      </c>
      <c r="E132" s="11" t="str">
        <f>IFERROR(VLOOKUP($C132,Спр_Измерения!$A$4:$F$16,3,0),"")</f>
        <v/>
      </c>
      <c r="F132" s="11" t="str">
        <f>IFERROR(VLOOKUP($C132,Спр_Измерения!$A$4:$F$16,4,0),"")</f>
        <v/>
      </c>
      <c r="G132" s="11" t="str">
        <f>IFERROR(VLOOKUP($C132,Спр_Измерения!$A$4:$F$16,5,0),"")</f>
        <v/>
      </c>
      <c r="H132" s="11" t="str">
        <f>IFERROR(VLOOKUP($C132,Спр_Измерения!$A$4:$G$16,6,0),"")</f>
        <v/>
      </c>
      <c r="I132" s="10"/>
      <c r="J132" s="11" t="str">
        <f>IFERROR(VLOOKUP($C132,Спр_Измерения!$A$4:$G$16,7,0),"")</f>
        <v/>
      </c>
      <c r="K132" s="9"/>
    </row>
    <row r="133">
      <c r="A133" s="10"/>
      <c r="B133" s="10"/>
      <c r="C133" s="10"/>
      <c r="D133" s="11" t="str">
        <f>IFERROR(VLOOKUP($C133,Спр_Измерения!$A$4:$F$16,2,0),"")</f>
        <v/>
      </c>
      <c r="E133" s="11" t="str">
        <f>IFERROR(VLOOKUP($C133,Спр_Измерения!$A$4:$F$16,3,0),"")</f>
        <v/>
      </c>
      <c r="F133" s="11" t="str">
        <f>IFERROR(VLOOKUP($C133,Спр_Измерения!$A$4:$F$16,4,0),"")</f>
        <v/>
      </c>
      <c r="G133" s="11" t="str">
        <f>IFERROR(VLOOKUP($C133,Спр_Измерения!$A$4:$F$16,5,0),"")</f>
        <v/>
      </c>
      <c r="H133" s="11" t="str">
        <f>IFERROR(VLOOKUP($C133,Спр_Измерения!$A$4:$G$16,6,0),"")</f>
        <v/>
      </c>
      <c r="I133" s="10"/>
      <c r="J133" s="11" t="str">
        <f>IFERROR(VLOOKUP($C133,Спр_Измерения!$A$4:$G$16,7,0),"")</f>
        <v/>
      </c>
      <c r="K133" s="9"/>
    </row>
    <row r="134">
      <c r="A134" s="10"/>
      <c r="B134" s="10"/>
      <c r="C134" s="10"/>
      <c r="D134" s="11" t="str">
        <f>IFERROR(VLOOKUP($C134,Спр_Измерения!$A$4:$F$16,2,0),"")</f>
        <v/>
      </c>
      <c r="E134" s="11" t="str">
        <f>IFERROR(VLOOKUP($C134,Спр_Измерения!$A$4:$F$16,3,0),"")</f>
        <v/>
      </c>
      <c r="F134" s="11" t="str">
        <f>IFERROR(VLOOKUP($C134,Спр_Измерения!$A$4:$F$16,4,0),"")</f>
        <v/>
      </c>
      <c r="G134" s="11" t="str">
        <f>IFERROR(VLOOKUP($C134,Спр_Измерения!$A$4:$F$16,5,0),"")</f>
        <v/>
      </c>
      <c r="H134" s="11" t="str">
        <f>IFERROR(VLOOKUP($C134,Спр_Измерения!$A$4:$G$16,6,0),"")</f>
        <v/>
      </c>
      <c r="I134" s="10"/>
      <c r="J134" s="11" t="str">
        <f>IFERROR(VLOOKUP($C134,Спр_Измерения!$A$4:$G$16,7,0),"")</f>
        <v/>
      </c>
      <c r="K134" s="9"/>
    </row>
    <row r="135">
      <c r="A135" s="10"/>
      <c r="B135" s="10"/>
      <c r="C135" s="10"/>
      <c r="D135" s="11" t="str">
        <f>IFERROR(VLOOKUP($C135,Спр_Измерения!$A$4:$F$16,2,0),"")</f>
        <v/>
      </c>
      <c r="E135" s="11" t="str">
        <f>IFERROR(VLOOKUP($C135,Спр_Измерения!$A$4:$F$16,3,0),"")</f>
        <v/>
      </c>
      <c r="F135" s="11" t="str">
        <f>IFERROR(VLOOKUP($C135,Спр_Измерения!$A$4:$F$16,4,0),"")</f>
        <v/>
      </c>
      <c r="G135" s="11" t="str">
        <f>IFERROR(VLOOKUP($C135,Спр_Измерения!$A$4:$F$16,5,0),"")</f>
        <v/>
      </c>
      <c r="H135" s="11" t="str">
        <f>IFERROR(VLOOKUP($C135,Спр_Измерения!$A$4:$G$16,6,0),"")</f>
        <v/>
      </c>
      <c r="I135" s="10"/>
      <c r="J135" s="11" t="str">
        <f>IFERROR(VLOOKUP($C135,Спр_Измерения!$A$4:$G$16,7,0),"")</f>
        <v/>
      </c>
      <c r="K135" s="9"/>
    </row>
    <row r="136">
      <c r="A136" s="10"/>
      <c r="B136" s="10"/>
      <c r="C136" s="10"/>
      <c r="D136" s="11" t="str">
        <f>IFERROR(VLOOKUP($C136,Спр_Измерения!$A$4:$F$16,2,0),"")</f>
        <v/>
      </c>
      <c r="E136" s="11" t="str">
        <f>IFERROR(VLOOKUP($C136,Спр_Измерения!$A$4:$F$16,3,0),"")</f>
        <v/>
      </c>
      <c r="F136" s="11" t="str">
        <f>IFERROR(VLOOKUP($C136,Спр_Измерения!$A$4:$F$16,4,0),"")</f>
        <v/>
      </c>
      <c r="G136" s="11" t="str">
        <f>IFERROR(VLOOKUP($C136,Спр_Измерения!$A$4:$F$16,5,0),"")</f>
        <v/>
      </c>
      <c r="H136" s="11" t="str">
        <f>IFERROR(VLOOKUP($C136,Спр_Измерения!$A$4:$G$16,6,0),"")</f>
        <v/>
      </c>
      <c r="I136" s="10"/>
      <c r="J136" s="11" t="str">
        <f>IFERROR(VLOOKUP($C136,Спр_Измерения!$A$4:$G$16,7,0),"")</f>
        <v/>
      </c>
      <c r="K136" s="9"/>
    </row>
    <row r="137">
      <c r="A137" s="10"/>
      <c r="B137" s="10"/>
      <c r="C137" s="10"/>
      <c r="D137" s="11" t="str">
        <f>IFERROR(VLOOKUP($C137,Спр_Измерения!$A$4:$F$16,2,0),"")</f>
        <v/>
      </c>
      <c r="E137" s="11" t="str">
        <f>IFERROR(VLOOKUP($C137,Спр_Измерения!$A$4:$F$16,3,0),"")</f>
        <v/>
      </c>
      <c r="F137" s="11" t="str">
        <f>IFERROR(VLOOKUP($C137,Спр_Измерения!$A$4:$F$16,4,0),"")</f>
        <v/>
      </c>
      <c r="G137" s="11" t="str">
        <f>IFERROR(VLOOKUP($C137,Спр_Измерения!$A$4:$F$16,5,0),"")</f>
        <v/>
      </c>
      <c r="H137" s="11" t="str">
        <f>IFERROR(VLOOKUP($C137,Спр_Измерения!$A$4:$G$16,6,0),"")</f>
        <v/>
      </c>
      <c r="I137" s="10"/>
      <c r="J137" s="11" t="str">
        <f>IFERROR(VLOOKUP($C137,Спр_Измерения!$A$4:$G$16,7,0),"")</f>
        <v/>
      </c>
      <c r="K137" s="9"/>
    </row>
    <row r="138">
      <c r="A138" s="10"/>
      <c r="B138" s="10"/>
      <c r="C138" s="10"/>
      <c r="D138" s="11" t="str">
        <f>IFERROR(VLOOKUP($C138,Спр_Измерения!$A$4:$F$16,2,0),"")</f>
        <v/>
      </c>
      <c r="E138" s="11" t="str">
        <f>IFERROR(VLOOKUP($C138,Спр_Измерения!$A$4:$F$16,3,0),"")</f>
        <v/>
      </c>
      <c r="F138" s="11" t="str">
        <f>IFERROR(VLOOKUP($C138,Спр_Измерения!$A$4:$F$16,4,0),"")</f>
        <v/>
      </c>
      <c r="G138" s="11" t="str">
        <f>IFERROR(VLOOKUP($C138,Спр_Измерения!$A$4:$F$16,5,0),"")</f>
        <v/>
      </c>
      <c r="H138" s="11" t="str">
        <f>IFERROR(VLOOKUP($C138,Спр_Измерения!$A$4:$G$16,6,0),"")</f>
        <v/>
      </c>
      <c r="I138" s="10"/>
      <c r="J138" s="11" t="str">
        <f>IFERROR(VLOOKUP($C138,Спр_Измерения!$A$4:$G$16,7,0),"")</f>
        <v/>
      </c>
      <c r="K138" s="9"/>
    </row>
    <row r="139">
      <c r="A139" s="10"/>
      <c r="B139" s="10"/>
      <c r="C139" s="10"/>
      <c r="D139" s="11" t="str">
        <f>IFERROR(VLOOKUP($C139,Спр_Измерения!$A$4:$F$16,2,0),"")</f>
        <v/>
      </c>
      <c r="E139" s="11" t="str">
        <f>IFERROR(VLOOKUP($C139,Спр_Измерения!$A$4:$F$16,3,0),"")</f>
        <v/>
      </c>
      <c r="F139" s="11" t="str">
        <f>IFERROR(VLOOKUP($C139,Спр_Измерения!$A$4:$F$16,4,0),"")</f>
        <v/>
      </c>
      <c r="G139" s="11" t="str">
        <f>IFERROR(VLOOKUP($C139,Спр_Измерения!$A$4:$F$16,5,0),"")</f>
        <v/>
      </c>
      <c r="H139" s="11" t="str">
        <f>IFERROR(VLOOKUP($C139,Спр_Измерения!$A$4:$G$16,6,0),"")</f>
        <v/>
      </c>
      <c r="I139" s="10"/>
      <c r="J139" s="11" t="str">
        <f>IFERROR(VLOOKUP($C139,Спр_Измерения!$A$4:$G$16,7,0),"")</f>
        <v/>
      </c>
      <c r="K139" s="9"/>
    </row>
    <row r="140">
      <c r="A140" s="10"/>
      <c r="B140" s="10"/>
      <c r="C140" s="10"/>
      <c r="D140" s="11" t="str">
        <f>IFERROR(VLOOKUP($C140,Спр_Измерения!$A$4:$F$16,2,0),"")</f>
        <v/>
      </c>
      <c r="E140" s="11" t="str">
        <f>IFERROR(VLOOKUP($C140,Спр_Измерения!$A$4:$F$16,3,0),"")</f>
        <v/>
      </c>
      <c r="F140" s="11" t="str">
        <f>IFERROR(VLOOKUP($C140,Спр_Измерения!$A$4:$F$16,4,0),"")</f>
        <v/>
      </c>
      <c r="G140" s="11" t="str">
        <f>IFERROR(VLOOKUP($C140,Спр_Измерения!$A$4:$F$16,5,0),"")</f>
        <v/>
      </c>
      <c r="H140" s="11" t="str">
        <f>IFERROR(VLOOKUP($C140,Спр_Измерения!$A$4:$G$16,6,0),"")</f>
        <v/>
      </c>
      <c r="I140" s="10"/>
      <c r="J140" s="11" t="str">
        <f>IFERROR(VLOOKUP($C140,Спр_Измерения!$A$4:$G$16,7,0),"")</f>
        <v/>
      </c>
      <c r="K140" s="9"/>
    </row>
    <row r="141">
      <c r="A141" s="10"/>
      <c r="B141" s="10"/>
      <c r="C141" s="10"/>
      <c r="D141" s="11" t="str">
        <f>IFERROR(VLOOKUP($C141,Спр_Измерения!$A$4:$F$16,2,0),"")</f>
        <v/>
      </c>
      <c r="E141" s="11" t="str">
        <f>IFERROR(VLOOKUP($C141,Спр_Измерения!$A$4:$F$16,3,0),"")</f>
        <v/>
      </c>
      <c r="F141" s="11" t="str">
        <f>IFERROR(VLOOKUP($C141,Спр_Измерения!$A$4:$F$16,4,0),"")</f>
        <v/>
      </c>
      <c r="G141" s="11" t="str">
        <f>IFERROR(VLOOKUP($C141,Спр_Измерения!$A$4:$F$16,5,0),"")</f>
        <v/>
      </c>
      <c r="H141" s="11" t="str">
        <f>IFERROR(VLOOKUP($C141,Спр_Измерения!$A$4:$G$16,6,0),"")</f>
        <v/>
      </c>
      <c r="I141" s="10"/>
      <c r="J141" s="11" t="str">
        <f>IFERROR(VLOOKUP($C141,Спр_Измерения!$A$4:$G$16,7,0),"")</f>
        <v/>
      </c>
      <c r="K141" s="9"/>
    </row>
    <row r="142">
      <c r="A142" s="10"/>
      <c r="B142" s="10"/>
      <c r="C142" s="10"/>
      <c r="D142" s="11" t="str">
        <f>IFERROR(VLOOKUP($C142,Спр_Измерения!$A$4:$F$16,2,0),"")</f>
        <v/>
      </c>
      <c r="E142" s="11" t="str">
        <f>IFERROR(VLOOKUP($C142,Спр_Измерения!$A$4:$F$16,3,0),"")</f>
        <v/>
      </c>
      <c r="F142" s="11" t="str">
        <f>IFERROR(VLOOKUP($C142,Спр_Измерения!$A$4:$F$16,4,0),"")</f>
        <v/>
      </c>
      <c r="G142" s="11" t="str">
        <f>IFERROR(VLOOKUP($C142,Спр_Измерения!$A$4:$F$16,5,0),"")</f>
        <v/>
      </c>
      <c r="H142" s="11" t="str">
        <f>IFERROR(VLOOKUP($C142,Спр_Измерения!$A$4:$G$16,6,0),"")</f>
        <v/>
      </c>
      <c r="I142" s="10"/>
      <c r="J142" s="11" t="str">
        <f>IFERROR(VLOOKUP($C142,Спр_Измерения!$A$4:$G$16,7,0),"")</f>
        <v/>
      </c>
      <c r="K142" s="9"/>
    </row>
    <row r="143">
      <c r="A143" s="10"/>
      <c r="B143" s="10"/>
      <c r="C143" s="10"/>
      <c r="D143" s="11" t="str">
        <f>IFERROR(VLOOKUP($C143,Спр_Измерения!$A$4:$F$16,2,0),"")</f>
        <v/>
      </c>
      <c r="E143" s="11" t="str">
        <f>IFERROR(VLOOKUP($C143,Спр_Измерения!$A$4:$F$16,3,0),"")</f>
        <v/>
      </c>
      <c r="F143" s="11" t="str">
        <f>IFERROR(VLOOKUP($C143,Спр_Измерения!$A$4:$F$16,4,0),"")</f>
        <v/>
      </c>
      <c r="G143" s="11" t="str">
        <f>IFERROR(VLOOKUP($C143,Спр_Измерения!$A$4:$F$16,5,0),"")</f>
        <v/>
      </c>
      <c r="H143" s="11" t="str">
        <f>IFERROR(VLOOKUP($C143,Спр_Измерения!$A$4:$G$16,6,0),"")</f>
        <v/>
      </c>
      <c r="I143" s="10"/>
      <c r="J143" s="11" t="str">
        <f>IFERROR(VLOOKUP($C143,Спр_Измерения!$A$4:$G$16,7,0),"")</f>
        <v/>
      </c>
      <c r="K143" s="9"/>
    </row>
    <row r="144">
      <c r="A144" s="10"/>
      <c r="B144" s="10"/>
      <c r="C144" s="10"/>
      <c r="D144" s="11" t="str">
        <f>IFERROR(VLOOKUP($C144,Спр_Измерения!$A$4:$F$16,2,0),"")</f>
        <v/>
      </c>
      <c r="E144" s="11" t="str">
        <f>IFERROR(VLOOKUP($C144,Спр_Измерения!$A$4:$F$16,3,0),"")</f>
        <v/>
      </c>
      <c r="F144" s="11" t="str">
        <f>IFERROR(VLOOKUP($C144,Спр_Измерения!$A$4:$F$16,4,0),"")</f>
        <v/>
      </c>
      <c r="G144" s="11" t="str">
        <f>IFERROR(VLOOKUP($C144,Спр_Измерения!$A$4:$F$16,5,0),"")</f>
        <v/>
      </c>
      <c r="H144" s="11" t="str">
        <f>IFERROR(VLOOKUP($C144,Спр_Измерения!$A$4:$G$16,6,0),"")</f>
        <v/>
      </c>
      <c r="I144" s="10"/>
      <c r="J144" s="11" t="str">
        <f>IFERROR(VLOOKUP($C144,Спр_Измерения!$A$4:$G$16,7,0),"")</f>
        <v/>
      </c>
      <c r="K144" s="9"/>
    </row>
    <row r="145">
      <c r="A145" s="10"/>
      <c r="B145" s="10"/>
      <c r="C145" s="10"/>
      <c r="D145" s="11" t="str">
        <f>IFERROR(VLOOKUP($C145,Спр_Измерения!$A$4:$F$16,2,0),"")</f>
        <v/>
      </c>
      <c r="E145" s="11" t="str">
        <f>IFERROR(VLOOKUP($C145,Спр_Измерения!$A$4:$F$16,3,0),"")</f>
        <v/>
      </c>
      <c r="F145" s="11" t="str">
        <f>IFERROR(VLOOKUP($C145,Спр_Измерения!$A$4:$F$16,4,0),"")</f>
        <v/>
      </c>
      <c r="G145" s="11" t="str">
        <f>IFERROR(VLOOKUP($C145,Спр_Измерения!$A$4:$F$16,5,0),"")</f>
        <v/>
      </c>
      <c r="H145" s="11" t="str">
        <f>IFERROR(VLOOKUP($C145,Спр_Измерения!$A$4:$G$16,6,0),"")</f>
        <v/>
      </c>
      <c r="I145" s="10"/>
      <c r="J145" s="11" t="str">
        <f>IFERROR(VLOOKUP($C145,Спр_Измерения!$A$4:$G$16,7,0),"")</f>
        <v/>
      </c>
      <c r="K145" s="9"/>
    </row>
    <row r="146">
      <c r="A146" s="10"/>
      <c r="B146" s="10"/>
      <c r="C146" s="10"/>
      <c r="D146" s="11" t="str">
        <f>IFERROR(VLOOKUP($C146,Спр_Измерения!$A$4:$F$16,2,0),"")</f>
        <v/>
      </c>
      <c r="E146" s="11" t="str">
        <f>IFERROR(VLOOKUP($C146,Спр_Измерения!$A$4:$F$16,3,0),"")</f>
        <v/>
      </c>
      <c r="F146" s="11" t="str">
        <f>IFERROR(VLOOKUP($C146,Спр_Измерения!$A$4:$F$16,4,0),"")</f>
        <v/>
      </c>
      <c r="G146" s="11" t="str">
        <f>IFERROR(VLOOKUP($C146,Спр_Измерения!$A$4:$F$16,5,0),"")</f>
        <v/>
      </c>
      <c r="H146" s="11" t="str">
        <f>IFERROR(VLOOKUP($C146,Спр_Измерения!$A$4:$G$16,6,0),"")</f>
        <v/>
      </c>
      <c r="I146" s="10"/>
      <c r="J146" s="11" t="str">
        <f>IFERROR(VLOOKUP($C146,Спр_Измерения!$A$4:$G$16,7,0),"")</f>
        <v/>
      </c>
      <c r="K146" s="9"/>
    </row>
    <row r="147">
      <c r="A147" s="10"/>
      <c r="B147" s="10"/>
      <c r="C147" s="10"/>
      <c r="D147" s="11" t="str">
        <f>IFERROR(VLOOKUP($C147,Спр_Измерения!$A$4:$F$16,2,0),"")</f>
        <v/>
      </c>
      <c r="E147" s="11" t="str">
        <f>IFERROR(VLOOKUP($C147,Спр_Измерения!$A$4:$F$16,3,0),"")</f>
        <v/>
      </c>
      <c r="F147" s="11" t="str">
        <f>IFERROR(VLOOKUP($C147,Спр_Измерения!$A$4:$F$16,4,0),"")</f>
        <v/>
      </c>
      <c r="G147" s="11" t="str">
        <f>IFERROR(VLOOKUP($C147,Спр_Измерения!$A$4:$F$16,5,0),"")</f>
        <v/>
      </c>
      <c r="H147" s="11" t="str">
        <f>IFERROR(VLOOKUP($C147,Спр_Измерения!$A$4:$G$16,6,0),"")</f>
        <v/>
      </c>
      <c r="I147" s="10"/>
      <c r="J147" s="11" t="str">
        <f>IFERROR(VLOOKUP($C147,Спр_Измерения!$A$4:$G$16,7,0),"")</f>
        <v/>
      </c>
      <c r="K147" s="9"/>
    </row>
    <row r="148">
      <c r="A148" s="10"/>
      <c r="B148" s="10"/>
      <c r="C148" s="10"/>
      <c r="D148" s="11" t="str">
        <f>IFERROR(VLOOKUP($C148,Спр_Измерения!$A$4:$F$16,2,0),"")</f>
        <v/>
      </c>
      <c r="E148" s="11" t="str">
        <f>IFERROR(VLOOKUP($C148,Спр_Измерения!$A$4:$F$16,3,0),"")</f>
        <v/>
      </c>
      <c r="F148" s="11" t="str">
        <f>IFERROR(VLOOKUP($C148,Спр_Измерения!$A$4:$F$16,4,0),"")</f>
        <v/>
      </c>
      <c r="G148" s="11" t="str">
        <f>IFERROR(VLOOKUP($C148,Спр_Измерения!$A$4:$F$16,5,0),"")</f>
        <v/>
      </c>
      <c r="H148" s="11" t="str">
        <f>IFERROR(VLOOKUP($C148,Спр_Измерения!$A$4:$G$16,6,0),"")</f>
        <v/>
      </c>
      <c r="I148" s="10"/>
      <c r="J148" s="11" t="str">
        <f>IFERROR(VLOOKUP($C148,Спр_Измерения!$A$4:$G$16,7,0),"")</f>
        <v/>
      </c>
      <c r="K148" s="9"/>
    </row>
    <row r="149">
      <c r="A149" s="10"/>
      <c r="B149" s="10"/>
      <c r="C149" s="10"/>
      <c r="D149" s="11" t="str">
        <f>IFERROR(VLOOKUP($C149,Спр_Измерения!$A$4:$F$16,2,0),"")</f>
        <v/>
      </c>
      <c r="E149" s="11" t="str">
        <f>IFERROR(VLOOKUP($C149,Спр_Измерения!$A$4:$F$16,3,0),"")</f>
        <v/>
      </c>
      <c r="F149" s="11" t="str">
        <f>IFERROR(VLOOKUP($C149,Спр_Измерения!$A$4:$F$16,4,0),"")</f>
        <v/>
      </c>
      <c r="G149" s="11" t="str">
        <f>IFERROR(VLOOKUP($C149,Спр_Измерения!$A$4:$F$16,5,0),"")</f>
        <v/>
      </c>
      <c r="H149" s="11" t="str">
        <f>IFERROR(VLOOKUP($C149,Спр_Измерения!$A$4:$G$16,6,0),"")</f>
        <v/>
      </c>
      <c r="I149" s="10"/>
      <c r="J149" s="11" t="str">
        <f>IFERROR(VLOOKUP($C149,Спр_Измерения!$A$4:$G$16,7,0),"")</f>
        <v/>
      </c>
      <c r="K149" s="9"/>
    </row>
    <row r="150">
      <c r="A150" s="10"/>
      <c r="B150" s="10"/>
      <c r="C150" s="10"/>
      <c r="D150" s="11" t="str">
        <f>IFERROR(VLOOKUP($C150,Спр_Измерения!$A$4:$F$16,2,0),"")</f>
        <v/>
      </c>
      <c r="E150" s="11" t="str">
        <f>IFERROR(VLOOKUP($C150,Спр_Измерения!$A$4:$F$16,3,0),"")</f>
        <v/>
      </c>
      <c r="F150" s="11" t="str">
        <f>IFERROR(VLOOKUP($C150,Спр_Измерения!$A$4:$F$16,4,0),"")</f>
        <v/>
      </c>
      <c r="G150" s="11" t="str">
        <f>IFERROR(VLOOKUP($C150,Спр_Измерения!$A$4:$F$16,5,0),"")</f>
        <v/>
      </c>
      <c r="H150" s="11" t="str">
        <f>IFERROR(VLOOKUP($C150,Спр_Измерения!$A$4:$G$16,6,0),"")</f>
        <v/>
      </c>
      <c r="I150" s="10"/>
      <c r="J150" s="11" t="str">
        <f>IFERROR(VLOOKUP($C150,Спр_Измерения!$A$4:$G$16,7,0),"")</f>
        <v/>
      </c>
      <c r="K150" s="9"/>
    </row>
    <row r="151">
      <c r="A151" s="10"/>
      <c r="B151" s="10"/>
      <c r="C151" s="10"/>
      <c r="D151" s="11" t="str">
        <f>IFERROR(VLOOKUP($C151,Спр_Измерения!$A$4:$F$16,2,0),"")</f>
        <v/>
      </c>
      <c r="E151" s="11" t="str">
        <f>IFERROR(VLOOKUP($C151,Спр_Измерения!$A$4:$F$16,3,0),"")</f>
        <v/>
      </c>
      <c r="F151" s="11" t="str">
        <f>IFERROR(VLOOKUP($C151,Спр_Измерения!$A$4:$F$16,4,0),"")</f>
        <v/>
      </c>
      <c r="G151" s="11" t="str">
        <f>IFERROR(VLOOKUP($C151,Спр_Измерения!$A$4:$F$16,5,0),"")</f>
        <v/>
      </c>
      <c r="H151" s="11" t="str">
        <f>IFERROR(VLOOKUP($C151,Спр_Измерения!$A$4:$G$16,6,0),"")</f>
        <v/>
      </c>
      <c r="I151" s="10"/>
      <c r="J151" s="11" t="str">
        <f>IFERROR(VLOOKUP($C151,Спр_Измерения!$A$4:$G$16,7,0),"")</f>
        <v/>
      </c>
      <c r="K151" s="9"/>
    </row>
    <row r="152">
      <c r="A152" s="10"/>
      <c r="B152" s="10"/>
      <c r="C152" s="10"/>
      <c r="D152" s="11" t="str">
        <f>IFERROR(VLOOKUP($C152,Спр_Измерения!$A$4:$F$16,2,0),"")</f>
        <v/>
      </c>
      <c r="E152" s="11" t="str">
        <f>IFERROR(VLOOKUP($C152,Спр_Измерения!$A$4:$F$16,3,0),"")</f>
        <v/>
      </c>
      <c r="F152" s="11" t="str">
        <f>IFERROR(VLOOKUP($C152,Спр_Измерения!$A$4:$F$16,4,0),"")</f>
        <v/>
      </c>
      <c r="G152" s="11" t="str">
        <f>IFERROR(VLOOKUP($C152,Спр_Измерения!$A$4:$F$16,5,0),"")</f>
        <v/>
      </c>
      <c r="H152" s="11" t="str">
        <f>IFERROR(VLOOKUP($C152,Спр_Измерения!$A$4:$G$16,6,0),"")</f>
        <v/>
      </c>
      <c r="I152" s="10"/>
      <c r="J152" s="11" t="str">
        <f>IFERROR(VLOOKUP($C152,Спр_Измерения!$A$4:$G$16,7,0),"")</f>
        <v/>
      </c>
      <c r="K152" s="9"/>
    </row>
    <row r="153">
      <c r="A153" s="10"/>
      <c r="B153" s="10"/>
      <c r="C153" s="10"/>
      <c r="D153" s="11" t="str">
        <f>IFERROR(VLOOKUP($C153,Спр_Измерения!$A$4:$F$16,2,0),"")</f>
        <v/>
      </c>
      <c r="E153" s="11" t="str">
        <f>IFERROR(VLOOKUP($C153,Спр_Измерения!$A$4:$F$16,3,0),"")</f>
        <v/>
      </c>
      <c r="F153" s="11" t="str">
        <f>IFERROR(VLOOKUP($C153,Спр_Измерения!$A$4:$F$16,4,0),"")</f>
        <v/>
      </c>
      <c r="G153" s="11" t="str">
        <f>IFERROR(VLOOKUP($C153,Спр_Измерения!$A$4:$F$16,5,0),"")</f>
        <v/>
      </c>
      <c r="H153" s="11" t="str">
        <f>IFERROR(VLOOKUP($C153,Спр_Измерения!$A$4:$G$16,6,0),"")</f>
        <v/>
      </c>
      <c r="I153" s="10"/>
      <c r="J153" s="11" t="str">
        <f>IFERROR(VLOOKUP($C153,Спр_Измерения!$A$4:$G$16,7,0),"")</f>
        <v/>
      </c>
      <c r="K153" s="9"/>
    </row>
    <row r="154">
      <c r="A154" s="10"/>
      <c r="B154" s="10"/>
      <c r="C154" s="10"/>
      <c r="D154" s="11" t="str">
        <f>IFERROR(VLOOKUP($C154,Спр_Измерения!$A$4:$F$16,2,0),"")</f>
        <v/>
      </c>
      <c r="E154" s="11" t="str">
        <f>IFERROR(VLOOKUP($C154,Спр_Измерения!$A$4:$F$16,3,0),"")</f>
        <v/>
      </c>
      <c r="F154" s="11" t="str">
        <f>IFERROR(VLOOKUP($C154,Спр_Измерения!$A$4:$F$16,4,0),"")</f>
        <v/>
      </c>
      <c r="G154" s="11" t="str">
        <f>IFERROR(VLOOKUP($C154,Спр_Измерения!$A$4:$F$16,5,0),"")</f>
        <v/>
      </c>
      <c r="H154" s="11" t="str">
        <f>IFERROR(VLOOKUP($C154,Спр_Измерения!$A$4:$G$16,6,0),"")</f>
        <v/>
      </c>
      <c r="I154" s="10"/>
      <c r="J154" s="11" t="str">
        <f>IFERROR(VLOOKUP($C154,Спр_Измерения!$A$4:$G$16,7,0),"")</f>
        <v/>
      </c>
      <c r="K154" s="9"/>
    </row>
    <row r="155">
      <c r="A155" s="10"/>
      <c r="B155" s="10"/>
      <c r="C155" s="10"/>
      <c r="D155" s="11" t="str">
        <f>IFERROR(VLOOKUP($C155,Спр_Измерения!$A$4:$F$16,2,0),"")</f>
        <v/>
      </c>
      <c r="E155" s="11" t="str">
        <f>IFERROR(VLOOKUP($C155,Спр_Измерения!$A$4:$F$16,3,0),"")</f>
        <v/>
      </c>
      <c r="F155" s="11" t="str">
        <f>IFERROR(VLOOKUP($C155,Спр_Измерения!$A$4:$F$16,4,0),"")</f>
        <v/>
      </c>
      <c r="G155" s="11" t="str">
        <f>IFERROR(VLOOKUP($C155,Спр_Измерения!$A$4:$F$16,5,0),"")</f>
        <v/>
      </c>
      <c r="H155" s="11" t="str">
        <f>IFERROR(VLOOKUP($C155,Спр_Измерения!$A$4:$G$16,6,0),"")</f>
        <v/>
      </c>
      <c r="I155" s="10"/>
      <c r="J155" s="11" t="str">
        <f>IFERROR(VLOOKUP($C155,Спр_Измерения!$A$4:$G$16,7,0),"")</f>
        <v/>
      </c>
      <c r="K155" s="9"/>
    </row>
    <row r="156">
      <c r="A156" s="10"/>
      <c r="B156" s="10"/>
      <c r="C156" s="10"/>
      <c r="D156" s="11" t="str">
        <f>IFERROR(VLOOKUP($C156,Спр_Измерения!$A$4:$F$16,2,0),"")</f>
        <v/>
      </c>
      <c r="E156" s="11" t="str">
        <f>IFERROR(VLOOKUP($C156,Спр_Измерения!$A$4:$F$16,3,0),"")</f>
        <v/>
      </c>
      <c r="F156" s="11" t="str">
        <f>IFERROR(VLOOKUP($C156,Спр_Измерения!$A$4:$F$16,4,0),"")</f>
        <v/>
      </c>
      <c r="G156" s="11" t="str">
        <f>IFERROR(VLOOKUP($C156,Спр_Измерения!$A$4:$F$16,5,0),"")</f>
        <v/>
      </c>
      <c r="H156" s="11" t="str">
        <f>IFERROR(VLOOKUP($C156,Спр_Измерения!$A$4:$G$16,6,0),"")</f>
        <v/>
      </c>
      <c r="I156" s="10"/>
      <c r="J156" s="11" t="str">
        <f>IFERROR(VLOOKUP($C156,Спр_Измерения!$A$4:$G$16,7,0),"")</f>
        <v/>
      </c>
      <c r="K156" s="9"/>
    </row>
    <row r="157">
      <c r="A157" s="10"/>
      <c r="B157" s="10"/>
      <c r="C157" s="10"/>
      <c r="D157" s="11" t="str">
        <f>IFERROR(VLOOKUP($C157,Спр_Измерения!$A$4:$F$16,2,0),"")</f>
        <v/>
      </c>
      <c r="E157" s="11" t="str">
        <f>IFERROR(VLOOKUP($C157,Спр_Измерения!$A$4:$F$16,3,0),"")</f>
        <v/>
      </c>
      <c r="F157" s="11" t="str">
        <f>IFERROR(VLOOKUP($C157,Спр_Измерения!$A$4:$F$16,4,0),"")</f>
        <v/>
      </c>
      <c r="G157" s="11" t="str">
        <f>IFERROR(VLOOKUP($C157,Спр_Измерения!$A$4:$F$16,5,0),"")</f>
        <v/>
      </c>
      <c r="H157" s="11" t="str">
        <f>IFERROR(VLOOKUP($C157,Спр_Измерения!$A$4:$G$16,6,0),"")</f>
        <v/>
      </c>
      <c r="I157" s="10"/>
      <c r="J157" s="11" t="str">
        <f>IFERROR(VLOOKUP($C157,Спр_Измерения!$A$4:$G$16,7,0),"")</f>
        <v/>
      </c>
      <c r="K157" s="9"/>
    </row>
    <row r="158">
      <c r="A158" s="10"/>
      <c r="B158" s="10"/>
      <c r="C158" s="10"/>
      <c r="D158" s="11" t="str">
        <f>IFERROR(VLOOKUP($C158,Спр_Измерения!$A$4:$F$16,2,0),"")</f>
        <v/>
      </c>
      <c r="E158" s="11" t="str">
        <f>IFERROR(VLOOKUP($C158,Спр_Измерения!$A$4:$F$16,3,0),"")</f>
        <v/>
      </c>
      <c r="F158" s="11" t="str">
        <f>IFERROR(VLOOKUP($C158,Спр_Измерения!$A$4:$F$16,4,0),"")</f>
        <v/>
      </c>
      <c r="G158" s="11" t="str">
        <f>IFERROR(VLOOKUP($C158,Спр_Измерения!$A$4:$F$16,5,0),"")</f>
        <v/>
      </c>
      <c r="H158" s="11" t="str">
        <f>IFERROR(VLOOKUP($C158,Спр_Измерения!$A$4:$G$16,6,0),"")</f>
        <v/>
      </c>
      <c r="I158" s="10"/>
      <c r="J158" s="11" t="str">
        <f>IFERROR(VLOOKUP($C158,Спр_Измерения!$A$4:$G$16,7,0),"")</f>
        <v/>
      </c>
      <c r="K158" s="9"/>
    </row>
    <row r="159">
      <c r="A159" s="10"/>
      <c r="B159" s="10"/>
      <c r="C159" s="10"/>
      <c r="D159" s="11" t="str">
        <f>IFERROR(VLOOKUP($C159,Спр_Измерения!$A$4:$F$16,2,0),"")</f>
        <v/>
      </c>
      <c r="E159" s="11" t="str">
        <f>IFERROR(VLOOKUP($C159,Спр_Измерения!$A$4:$F$16,3,0),"")</f>
        <v/>
      </c>
      <c r="F159" s="11" t="str">
        <f>IFERROR(VLOOKUP($C159,Спр_Измерения!$A$4:$F$16,4,0),"")</f>
        <v/>
      </c>
      <c r="G159" s="11" t="str">
        <f>IFERROR(VLOOKUP($C159,Спр_Измерения!$A$4:$F$16,5,0),"")</f>
        <v/>
      </c>
      <c r="H159" s="11" t="str">
        <f>IFERROR(VLOOKUP($C159,Спр_Измерения!$A$4:$G$16,6,0),"")</f>
        <v/>
      </c>
      <c r="I159" s="10"/>
      <c r="J159" s="11" t="str">
        <f>IFERROR(VLOOKUP($C159,Спр_Измерения!$A$4:$G$16,7,0),"")</f>
        <v/>
      </c>
      <c r="K159" s="9"/>
    </row>
    <row r="160">
      <c r="A160" s="10"/>
      <c r="B160" s="10"/>
      <c r="C160" s="10"/>
      <c r="D160" s="11" t="str">
        <f>IFERROR(VLOOKUP($C160,Спр_Измерения!$A$4:$F$16,2,0),"")</f>
        <v/>
      </c>
      <c r="E160" s="11" t="str">
        <f>IFERROR(VLOOKUP($C160,Спр_Измерения!$A$4:$F$16,3,0),"")</f>
        <v/>
      </c>
      <c r="F160" s="11" t="str">
        <f>IFERROR(VLOOKUP($C160,Спр_Измерения!$A$4:$F$16,4,0),"")</f>
        <v/>
      </c>
      <c r="G160" s="11" t="str">
        <f>IFERROR(VLOOKUP($C160,Спр_Измерения!$A$4:$F$16,5,0),"")</f>
        <v/>
      </c>
      <c r="H160" s="11" t="str">
        <f>IFERROR(VLOOKUP($C160,Спр_Измерения!$A$4:$G$16,6,0),"")</f>
        <v/>
      </c>
      <c r="I160" s="10"/>
      <c r="J160" s="11" t="str">
        <f>IFERROR(VLOOKUP($C160,Спр_Измерения!$A$4:$G$16,7,0),"")</f>
        <v/>
      </c>
      <c r="K160" s="9"/>
    </row>
    <row r="161">
      <c r="A161" s="10"/>
      <c r="B161" s="10"/>
      <c r="C161" s="10"/>
      <c r="D161" s="11" t="str">
        <f>IFERROR(VLOOKUP($C161,Спр_Измерения!$A$4:$F$16,2,0),"")</f>
        <v/>
      </c>
      <c r="E161" s="11" t="str">
        <f>IFERROR(VLOOKUP($C161,Спр_Измерения!$A$4:$F$16,3,0),"")</f>
        <v/>
      </c>
      <c r="F161" s="11" t="str">
        <f>IFERROR(VLOOKUP($C161,Спр_Измерения!$A$4:$F$16,4,0),"")</f>
        <v/>
      </c>
      <c r="G161" s="11" t="str">
        <f>IFERROR(VLOOKUP($C161,Спр_Измерения!$A$4:$F$16,5,0),"")</f>
        <v/>
      </c>
      <c r="H161" s="11" t="str">
        <f>IFERROR(VLOOKUP($C161,Спр_Измерения!$A$4:$G$16,6,0),"")</f>
        <v/>
      </c>
      <c r="I161" s="10"/>
      <c r="J161" s="11" t="str">
        <f>IFERROR(VLOOKUP($C161,Спр_Измерения!$A$4:$G$16,7,0),"")</f>
        <v/>
      </c>
      <c r="K161" s="9"/>
    </row>
    <row r="162">
      <c r="A162" s="10"/>
      <c r="B162" s="10"/>
      <c r="C162" s="10"/>
      <c r="D162" s="11" t="str">
        <f>IFERROR(VLOOKUP($C162,Спр_Измерения!$A$4:$F$16,2,0),"")</f>
        <v/>
      </c>
      <c r="E162" s="11" t="str">
        <f>IFERROR(VLOOKUP($C162,Спр_Измерения!$A$4:$F$16,3,0),"")</f>
        <v/>
      </c>
      <c r="F162" s="11" t="str">
        <f>IFERROR(VLOOKUP($C162,Спр_Измерения!$A$4:$F$16,4,0),"")</f>
        <v/>
      </c>
      <c r="G162" s="11" t="str">
        <f>IFERROR(VLOOKUP($C162,Спр_Измерения!$A$4:$F$16,5,0),"")</f>
        <v/>
      </c>
      <c r="H162" s="11" t="str">
        <f>IFERROR(VLOOKUP($C162,Спр_Измерения!$A$4:$G$16,6,0),"")</f>
        <v/>
      </c>
      <c r="I162" s="10"/>
      <c r="J162" s="11" t="str">
        <f>IFERROR(VLOOKUP($C162,Спр_Измерения!$A$4:$G$16,7,0),"")</f>
        <v/>
      </c>
      <c r="K162" s="9"/>
    </row>
    <row r="163">
      <c r="A163" s="10"/>
      <c r="B163" s="10"/>
      <c r="C163" s="10"/>
      <c r="D163" s="11" t="str">
        <f>IFERROR(VLOOKUP($C163,Спр_Измерения!$A$4:$F$16,2,0),"")</f>
        <v/>
      </c>
      <c r="E163" s="11" t="str">
        <f>IFERROR(VLOOKUP($C163,Спр_Измерения!$A$4:$F$16,3,0),"")</f>
        <v/>
      </c>
      <c r="F163" s="11" t="str">
        <f>IFERROR(VLOOKUP($C163,Спр_Измерения!$A$4:$F$16,4,0),"")</f>
        <v/>
      </c>
      <c r="G163" s="11" t="str">
        <f>IFERROR(VLOOKUP($C163,Спр_Измерения!$A$4:$F$16,5,0),"")</f>
        <v/>
      </c>
      <c r="H163" s="11" t="str">
        <f>IFERROR(VLOOKUP($C163,Спр_Измерения!$A$4:$G$16,6,0),"")</f>
        <v/>
      </c>
      <c r="I163" s="10"/>
      <c r="J163" s="11" t="str">
        <f>IFERROR(VLOOKUP($C163,Спр_Измерения!$A$4:$G$16,7,0),"")</f>
        <v/>
      </c>
      <c r="K163" s="9"/>
    </row>
    <row r="164">
      <c r="A164" s="10"/>
      <c r="B164" s="10"/>
      <c r="C164" s="10"/>
      <c r="D164" s="11" t="str">
        <f>IFERROR(VLOOKUP($C164,Спр_Измерения!$A$4:$F$16,2,0),"")</f>
        <v/>
      </c>
      <c r="E164" s="11" t="str">
        <f>IFERROR(VLOOKUP($C164,Спр_Измерения!$A$4:$F$16,3,0),"")</f>
        <v/>
      </c>
      <c r="F164" s="11" t="str">
        <f>IFERROR(VLOOKUP($C164,Спр_Измерения!$A$4:$F$16,4,0),"")</f>
        <v/>
      </c>
      <c r="G164" s="11" t="str">
        <f>IFERROR(VLOOKUP($C164,Спр_Измерения!$A$4:$F$16,5,0),"")</f>
        <v/>
      </c>
      <c r="H164" s="11" t="str">
        <f>IFERROR(VLOOKUP($C164,Спр_Измерения!$A$4:$G$16,6,0),"")</f>
        <v/>
      </c>
      <c r="I164" s="10"/>
      <c r="J164" s="11" t="str">
        <f>IFERROR(VLOOKUP($C164,Спр_Измерения!$A$4:$G$16,7,0),"")</f>
        <v/>
      </c>
      <c r="K164" s="9"/>
    </row>
    <row r="165">
      <c r="A165" s="10"/>
      <c r="B165" s="10"/>
      <c r="C165" s="10"/>
      <c r="D165" s="11" t="str">
        <f>IFERROR(VLOOKUP($C165,Спр_Измерения!$A$4:$F$16,2,0),"")</f>
        <v/>
      </c>
      <c r="E165" s="11" t="str">
        <f>IFERROR(VLOOKUP($C165,Спр_Измерения!$A$4:$F$16,3,0),"")</f>
        <v/>
      </c>
      <c r="F165" s="11" t="str">
        <f>IFERROR(VLOOKUP($C165,Спр_Измерения!$A$4:$F$16,4,0),"")</f>
        <v/>
      </c>
      <c r="G165" s="11" t="str">
        <f>IFERROR(VLOOKUP($C165,Спр_Измерения!$A$4:$F$16,5,0),"")</f>
        <v/>
      </c>
      <c r="H165" s="11" t="str">
        <f>IFERROR(VLOOKUP($C165,Спр_Измерения!$A$4:$G$16,6,0),"")</f>
        <v/>
      </c>
      <c r="I165" s="10"/>
      <c r="J165" s="11" t="str">
        <f>IFERROR(VLOOKUP($C165,Спр_Измерения!$A$4:$G$16,7,0),"")</f>
        <v/>
      </c>
      <c r="K165" s="9"/>
    </row>
    <row r="166">
      <c r="A166" s="10"/>
      <c r="B166" s="10"/>
      <c r="C166" s="10"/>
      <c r="D166" s="11" t="str">
        <f>IFERROR(VLOOKUP($C166,Спр_Измерения!$A$4:$F$16,2,0),"")</f>
        <v/>
      </c>
      <c r="E166" s="11" t="str">
        <f>IFERROR(VLOOKUP($C166,Спр_Измерения!$A$4:$F$16,3,0),"")</f>
        <v/>
      </c>
      <c r="F166" s="11" t="str">
        <f>IFERROR(VLOOKUP($C166,Спр_Измерения!$A$4:$F$16,4,0),"")</f>
        <v/>
      </c>
      <c r="G166" s="11" t="str">
        <f>IFERROR(VLOOKUP($C166,Спр_Измерения!$A$4:$F$16,5,0),"")</f>
        <v/>
      </c>
      <c r="H166" s="11" t="str">
        <f>IFERROR(VLOOKUP($C166,Спр_Измерения!$A$4:$G$16,6,0),"")</f>
        <v/>
      </c>
      <c r="I166" s="10"/>
      <c r="J166" s="11" t="str">
        <f>IFERROR(VLOOKUP($C166,Спр_Измерения!$A$4:$G$16,7,0),"")</f>
        <v/>
      </c>
      <c r="K166" s="9"/>
    </row>
    <row r="167">
      <c r="A167" s="10"/>
      <c r="B167" s="10"/>
      <c r="C167" s="10"/>
      <c r="D167" s="11" t="str">
        <f>IFERROR(VLOOKUP($C167,Спр_Измерения!$A$4:$F$16,2,0),"")</f>
        <v/>
      </c>
      <c r="E167" s="11" t="str">
        <f>IFERROR(VLOOKUP($C167,Спр_Измерения!$A$4:$F$16,3,0),"")</f>
        <v/>
      </c>
      <c r="F167" s="11" t="str">
        <f>IFERROR(VLOOKUP($C167,Спр_Измерения!$A$4:$F$16,4,0),"")</f>
        <v/>
      </c>
      <c r="G167" s="11" t="str">
        <f>IFERROR(VLOOKUP($C167,Спр_Измерения!$A$4:$F$16,5,0),"")</f>
        <v/>
      </c>
      <c r="H167" s="11" t="str">
        <f>IFERROR(VLOOKUP($C167,Спр_Измерения!$A$4:$G$16,6,0),"")</f>
        <v/>
      </c>
      <c r="I167" s="10"/>
      <c r="J167" s="11" t="str">
        <f>IFERROR(VLOOKUP($C167,Спр_Измерения!$A$4:$G$16,7,0),"")</f>
        <v/>
      </c>
      <c r="K167" s="9"/>
    </row>
    <row r="168">
      <c r="A168" s="10"/>
      <c r="B168" s="10"/>
      <c r="C168" s="10"/>
      <c r="D168" s="11" t="str">
        <f>IFERROR(VLOOKUP($C168,Спр_Измерения!$A$4:$F$16,2,0),"")</f>
        <v/>
      </c>
      <c r="E168" s="11" t="str">
        <f>IFERROR(VLOOKUP($C168,Спр_Измерения!$A$4:$F$16,3,0),"")</f>
        <v/>
      </c>
      <c r="F168" s="11" t="str">
        <f>IFERROR(VLOOKUP($C168,Спр_Измерения!$A$4:$F$16,4,0),"")</f>
        <v/>
      </c>
      <c r="G168" s="11" t="str">
        <f>IFERROR(VLOOKUP($C168,Спр_Измерения!$A$4:$F$16,5,0),"")</f>
        <v/>
      </c>
      <c r="H168" s="11" t="str">
        <f>IFERROR(VLOOKUP($C168,Спр_Измерения!$A$4:$G$16,6,0),"")</f>
        <v/>
      </c>
      <c r="I168" s="10"/>
      <c r="J168" s="11" t="str">
        <f>IFERROR(VLOOKUP($C168,Спр_Измерения!$A$4:$G$16,7,0),"")</f>
        <v/>
      </c>
      <c r="K168" s="9"/>
    </row>
    <row r="169">
      <c r="A169" s="10"/>
      <c r="B169" s="10"/>
      <c r="C169" s="10"/>
      <c r="D169" s="11" t="str">
        <f>IFERROR(VLOOKUP($C169,Спр_Измерения!$A$4:$F$16,2,0),"")</f>
        <v/>
      </c>
      <c r="E169" s="11" t="str">
        <f>IFERROR(VLOOKUP($C169,Спр_Измерения!$A$4:$F$16,3,0),"")</f>
        <v/>
      </c>
      <c r="F169" s="11" t="str">
        <f>IFERROR(VLOOKUP($C169,Спр_Измерения!$A$4:$F$16,4,0),"")</f>
        <v/>
      </c>
      <c r="G169" s="11" t="str">
        <f>IFERROR(VLOOKUP($C169,Спр_Измерения!$A$4:$F$16,5,0),"")</f>
        <v/>
      </c>
      <c r="H169" s="11" t="str">
        <f>IFERROR(VLOOKUP($C169,Спр_Измерения!$A$4:$G$16,6,0),"")</f>
        <v/>
      </c>
      <c r="I169" s="10"/>
      <c r="J169" s="11" t="str">
        <f>IFERROR(VLOOKUP($C169,Спр_Измерения!$A$4:$G$16,7,0),"")</f>
        <v/>
      </c>
      <c r="K169" s="9"/>
    </row>
    <row r="170">
      <c r="A170" s="10"/>
      <c r="B170" s="10"/>
      <c r="C170" s="10"/>
      <c r="D170" s="11" t="str">
        <f>IFERROR(VLOOKUP($C170,Спр_Измерения!$A$4:$F$16,2,0),"")</f>
        <v/>
      </c>
      <c r="E170" s="11" t="str">
        <f>IFERROR(VLOOKUP($C170,Спр_Измерения!$A$4:$F$16,3,0),"")</f>
        <v/>
      </c>
      <c r="F170" s="11" t="str">
        <f>IFERROR(VLOOKUP($C170,Спр_Измерения!$A$4:$F$16,4,0),"")</f>
        <v/>
      </c>
      <c r="G170" s="11" t="str">
        <f>IFERROR(VLOOKUP($C170,Спр_Измерения!$A$4:$F$16,5,0),"")</f>
        <v/>
      </c>
      <c r="H170" s="11" t="str">
        <f>IFERROR(VLOOKUP($C170,Спр_Измерения!$A$4:$G$16,6,0),"")</f>
        <v/>
      </c>
      <c r="I170" s="10"/>
      <c r="J170" s="11" t="str">
        <f>IFERROR(VLOOKUP($C170,Спр_Измерения!$A$4:$G$16,7,0),"")</f>
        <v/>
      </c>
      <c r="K170" s="9"/>
    </row>
    <row r="171">
      <c r="A171" s="10"/>
      <c r="B171" s="10"/>
      <c r="C171" s="10"/>
      <c r="D171" s="11" t="str">
        <f>IFERROR(VLOOKUP($C171,Спр_Измерения!$A$4:$F$16,2,0),"")</f>
        <v/>
      </c>
      <c r="E171" s="11" t="str">
        <f>IFERROR(VLOOKUP($C171,Спр_Измерения!$A$4:$F$16,3,0),"")</f>
        <v/>
      </c>
      <c r="F171" s="11" t="str">
        <f>IFERROR(VLOOKUP($C171,Спр_Измерения!$A$4:$F$16,4,0),"")</f>
        <v/>
      </c>
      <c r="G171" s="11" t="str">
        <f>IFERROR(VLOOKUP($C171,Спр_Измерения!$A$4:$F$16,5,0),"")</f>
        <v/>
      </c>
      <c r="H171" s="11" t="str">
        <f>IFERROR(VLOOKUP($C171,Спр_Измерения!$A$4:$G$16,6,0),"")</f>
        <v/>
      </c>
      <c r="I171" s="10"/>
      <c r="J171" s="11" t="str">
        <f>IFERROR(VLOOKUP($C171,Спр_Измерения!$A$4:$G$16,7,0),"")</f>
        <v/>
      </c>
      <c r="K171" s="9"/>
    </row>
    <row r="172">
      <c r="A172" s="10"/>
      <c r="B172" s="10"/>
      <c r="C172" s="10"/>
      <c r="D172" s="11" t="str">
        <f>IFERROR(VLOOKUP($C172,Спр_Измерения!$A$4:$F$16,2,0),"")</f>
        <v/>
      </c>
      <c r="E172" s="11" t="str">
        <f>IFERROR(VLOOKUP($C172,Спр_Измерения!$A$4:$F$16,3,0),"")</f>
        <v/>
      </c>
      <c r="F172" s="11" t="str">
        <f>IFERROR(VLOOKUP($C172,Спр_Измерения!$A$4:$F$16,4,0),"")</f>
        <v/>
      </c>
      <c r="G172" s="11" t="str">
        <f>IFERROR(VLOOKUP($C172,Спр_Измерения!$A$4:$F$16,5,0),"")</f>
        <v/>
      </c>
      <c r="H172" s="11" t="str">
        <f>IFERROR(VLOOKUP($C172,Спр_Измерения!$A$4:$G$16,6,0),"")</f>
        <v/>
      </c>
      <c r="I172" s="10"/>
      <c r="J172" s="11" t="str">
        <f>IFERROR(VLOOKUP($C172,Спр_Измерения!$A$4:$G$16,7,0),"")</f>
        <v/>
      </c>
      <c r="K172" s="9"/>
    </row>
    <row r="173">
      <c r="A173" s="10"/>
      <c r="B173" s="10"/>
      <c r="C173" s="10"/>
      <c r="D173" s="11" t="str">
        <f>IFERROR(VLOOKUP($C173,Спр_Измерения!$A$4:$F$16,2,0),"")</f>
        <v/>
      </c>
      <c r="E173" s="11" t="str">
        <f>IFERROR(VLOOKUP($C173,Спр_Измерения!$A$4:$F$16,3,0),"")</f>
        <v/>
      </c>
      <c r="F173" s="11" t="str">
        <f>IFERROR(VLOOKUP($C173,Спр_Измерения!$A$4:$F$16,4,0),"")</f>
        <v/>
      </c>
      <c r="G173" s="11" t="str">
        <f>IFERROR(VLOOKUP($C173,Спр_Измерения!$A$4:$F$16,5,0),"")</f>
        <v/>
      </c>
      <c r="H173" s="11" t="str">
        <f>IFERROR(VLOOKUP($C173,Спр_Измерения!$A$4:$G$16,6,0),"")</f>
        <v/>
      </c>
      <c r="I173" s="10"/>
      <c r="J173" s="11" t="str">
        <f>IFERROR(VLOOKUP($C173,Спр_Измерения!$A$4:$G$16,7,0),"")</f>
        <v/>
      </c>
      <c r="K173" s="9"/>
    </row>
    <row r="174">
      <c r="A174" s="10"/>
      <c r="B174" s="10"/>
      <c r="C174" s="10"/>
      <c r="D174" s="11" t="str">
        <f>IFERROR(VLOOKUP($C174,Спр_Измерения!$A$4:$F$16,2,0),"")</f>
        <v/>
      </c>
      <c r="E174" s="11" t="str">
        <f>IFERROR(VLOOKUP($C174,Спр_Измерения!$A$4:$F$16,3,0),"")</f>
        <v/>
      </c>
      <c r="F174" s="11" t="str">
        <f>IFERROR(VLOOKUP($C174,Спр_Измерения!$A$4:$F$16,4,0),"")</f>
        <v/>
      </c>
      <c r="G174" s="11" t="str">
        <f>IFERROR(VLOOKUP($C174,Спр_Измерения!$A$4:$F$16,5,0),"")</f>
        <v/>
      </c>
      <c r="H174" s="11" t="str">
        <f>IFERROR(VLOOKUP($C174,Спр_Измерения!$A$4:$G$16,6,0),"")</f>
        <v/>
      </c>
      <c r="I174" s="10"/>
      <c r="J174" s="11" t="str">
        <f>IFERROR(VLOOKUP($C174,Спр_Измерения!$A$4:$G$16,7,0),"")</f>
        <v/>
      </c>
      <c r="K174" s="9"/>
    </row>
    <row r="175">
      <c r="A175" s="10"/>
      <c r="B175" s="10"/>
      <c r="C175" s="10"/>
      <c r="D175" s="11" t="str">
        <f>IFERROR(VLOOKUP($C175,Спр_Измерения!$A$4:$F$16,2,0),"")</f>
        <v/>
      </c>
      <c r="E175" s="11" t="str">
        <f>IFERROR(VLOOKUP($C175,Спр_Измерения!$A$4:$F$16,3,0),"")</f>
        <v/>
      </c>
      <c r="F175" s="11" t="str">
        <f>IFERROR(VLOOKUP($C175,Спр_Измерения!$A$4:$F$16,4,0),"")</f>
        <v/>
      </c>
      <c r="G175" s="11" t="str">
        <f>IFERROR(VLOOKUP($C175,Спр_Измерения!$A$4:$F$16,5,0),"")</f>
        <v/>
      </c>
      <c r="H175" s="11" t="str">
        <f>IFERROR(VLOOKUP($C175,Спр_Измерения!$A$4:$G$16,6,0),"")</f>
        <v/>
      </c>
      <c r="I175" s="10"/>
      <c r="J175" s="11" t="str">
        <f>IFERROR(VLOOKUP($C175,Спр_Измерения!$A$4:$G$16,7,0),"")</f>
        <v/>
      </c>
      <c r="K175" s="9"/>
    </row>
    <row r="176">
      <c r="A176" s="10"/>
      <c r="B176" s="10"/>
      <c r="C176" s="10"/>
      <c r="D176" s="11" t="str">
        <f>IFERROR(VLOOKUP($C176,Спр_Измерения!$A$4:$F$16,2,0),"")</f>
        <v/>
      </c>
      <c r="E176" s="11" t="str">
        <f>IFERROR(VLOOKUP($C176,Спр_Измерения!$A$4:$F$16,3,0),"")</f>
        <v/>
      </c>
      <c r="F176" s="11" t="str">
        <f>IFERROR(VLOOKUP($C176,Спр_Измерения!$A$4:$F$16,4,0),"")</f>
        <v/>
      </c>
      <c r="G176" s="11" t="str">
        <f>IFERROR(VLOOKUP($C176,Спр_Измерения!$A$4:$F$16,5,0),"")</f>
        <v/>
      </c>
      <c r="H176" s="11" t="str">
        <f>IFERROR(VLOOKUP($C176,Спр_Измерения!$A$4:$G$16,6,0),"")</f>
        <v/>
      </c>
      <c r="I176" s="10"/>
      <c r="J176" s="11" t="str">
        <f>IFERROR(VLOOKUP($C176,Спр_Измерения!$A$4:$G$16,7,0),"")</f>
        <v/>
      </c>
      <c r="K176" s="9"/>
    </row>
    <row r="177">
      <c r="A177" s="10"/>
      <c r="B177" s="10"/>
      <c r="C177" s="10"/>
      <c r="D177" s="11" t="str">
        <f>IFERROR(VLOOKUP($C177,Спр_Измерения!$A$4:$F$16,2,0),"")</f>
        <v/>
      </c>
      <c r="E177" s="11" t="str">
        <f>IFERROR(VLOOKUP($C177,Спр_Измерения!$A$4:$F$16,3,0),"")</f>
        <v/>
      </c>
      <c r="F177" s="11" t="str">
        <f>IFERROR(VLOOKUP($C177,Спр_Измерения!$A$4:$F$16,4,0),"")</f>
        <v/>
      </c>
      <c r="G177" s="11" t="str">
        <f>IFERROR(VLOOKUP($C177,Спр_Измерения!$A$4:$F$16,5,0),"")</f>
        <v/>
      </c>
      <c r="H177" s="11" t="str">
        <f>IFERROR(VLOOKUP($C177,Спр_Измерения!$A$4:$G$16,6,0),"")</f>
        <v/>
      </c>
      <c r="I177" s="10"/>
      <c r="J177" s="11" t="str">
        <f>IFERROR(VLOOKUP($C177,Спр_Измерения!$A$4:$G$16,7,0),"")</f>
        <v/>
      </c>
      <c r="K177" s="9"/>
    </row>
    <row r="178">
      <c r="A178" s="10"/>
      <c r="B178" s="10"/>
      <c r="C178" s="10"/>
      <c r="D178" s="11" t="str">
        <f>IFERROR(VLOOKUP($C178,Спр_Измерения!$A$4:$F$16,2,0),"")</f>
        <v/>
      </c>
      <c r="E178" s="11" t="str">
        <f>IFERROR(VLOOKUP($C178,Спр_Измерения!$A$4:$F$16,3,0),"")</f>
        <v/>
      </c>
      <c r="F178" s="11" t="str">
        <f>IFERROR(VLOOKUP($C178,Спр_Измерения!$A$4:$F$16,4,0),"")</f>
        <v/>
      </c>
      <c r="G178" s="11" t="str">
        <f>IFERROR(VLOOKUP($C178,Спр_Измерения!$A$4:$F$16,5,0),"")</f>
        <v/>
      </c>
      <c r="H178" s="11" t="str">
        <f>IFERROR(VLOOKUP($C178,Спр_Измерения!$A$4:$G$16,6,0),"")</f>
        <v/>
      </c>
      <c r="I178" s="10"/>
      <c r="J178" s="11" t="str">
        <f>IFERROR(VLOOKUP($C178,Спр_Измерения!$A$4:$G$16,7,0),"")</f>
        <v/>
      </c>
      <c r="K178" s="9"/>
    </row>
    <row r="179">
      <c r="A179" s="10"/>
      <c r="B179" s="10"/>
      <c r="C179" s="10"/>
      <c r="D179" s="11" t="str">
        <f>IFERROR(VLOOKUP($C179,Спр_Измерения!$A$4:$F$16,2,0),"")</f>
        <v/>
      </c>
      <c r="E179" s="11" t="str">
        <f>IFERROR(VLOOKUP($C179,Спр_Измерения!$A$4:$F$16,3,0),"")</f>
        <v/>
      </c>
      <c r="F179" s="11" t="str">
        <f>IFERROR(VLOOKUP($C179,Спр_Измерения!$A$4:$F$16,4,0),"")</f>
        <v/>
      </c>
      <c r="G179" s="11" t="str">
        <f>IFERROR(VLOOKUP($C179,Спр_Измерения!$A$4:$F$16,5,0),"")</f>
        <v/>
      </c>
      <c r="H179" s="11" t="str">
        <f>IFERROR(VLOOKUP($C179,Спр_Измерения!$A$4:$G$16,6,0),"")</f>
        <v/>
      </c>
      <c r="I179" s="10"/>
      <c r="J179" s="11" t="str">
        <f>IFERROR(VLOOKUP($C179,Спр_Измерения!$A$4:$G$16,7,0),"")</f>
        <v/>
      </c>
      <c r="K179" s="9"/>
    </row>
    <row r="180">
      <c r="A180" s="10"/>
      <c r="B180" s="10"/>
      <c r="C180" s="10"/>
      <c r="D180" s="11" t="str">
        <f>IFERROR(VLOOKUP($C180,Спр_Измерения!$A$4:$F$16,2,0),"")</f>
        <v/>
      </c>
      <c r="E180" s="11" t="str">
        <f>IFERROR(VLOOKUP($C180,Спр_Измерения!$A$4:$F$16,3,0),"")</f>
        <v/>
      </c>
      <c r="F180" s="11" t="str">
        <f>IFERROR(VLOOKUP($C180,Спр_Измерения!$A$4:$F$16,4,0),"")</f>
        <v/>
      </c>
      <c r="G180" s="11" t="str">
        <f>IFERROR(VLOOKUP($C180,Спр_Измерения!$A$4:$F$16,5,0),"")</f>
        <v/>
      </c>
      <c r="H180" s="11" t="str">
        <f>IFERROR(VLOOKUP($C180,Спр_Измерения!$A$4:$G$16,6,0),"")</f>
        <v/>
      </c>
      <c r="I180" s="10"/>
      <c r="J180" s="11" t="str">
        <f>IFERROR(VLOOKUP($C180,Спр_Измерения!$A$4:$G$16,7,0),"")</f>
        <v/>
      </c>
      <c r="K180" s="9"/>
    </row>
    <row r="181">
      <c r="A181" s="10"/>
      <c r="B181" s="10"/>
      <c r="C181" s="10"/>
      <c r="D181" s="11" t="str">
        <f>IFERROR(VLOOKUP($C181,Спр_Измерения!$A$4:$F$16,2,0),"")</f>
        <v/>
      </c>
      <c r="E181" s="11" t="str">
        <f>IFERROR(VLOOKUP($C181,Спр_Измерения!$A$4:$F$16,3,0),"")</f>
        <v/>
      </c>
      <c r="F181" s="11" t="str">
        <f>IFERROR(VLOOKUP($C181,Спр_Измерения!$A$4:$F$16,4,0),"")</f>
        <v/>
      </c>
      <c r="G181" s="11" t="str">
        <f>IFERROR(VLOOKUP($C181,Спр_Измерения!$A$4:$F$16,5,0),"")</f>
        <v/>
      </c>
      <c r="H181" s="11" t="str">
        <f>IFERROR(VLOOKUP($C181,Спр_Измерения!$A$4:$G$16,6,0),"")</f>
        <v/>
      </c>
      <c r="I181" s="10"/>
      <c r="J181" s="11" t="str">
        <f>IFERROR(VLOOKUP($C181,Спр_Измерения!$A$4:$G$16,7,0),"")</f>
        <v/>
      </c>
      <c r="K181" s="9"/>
    </row>
    <row r="182">
      <c r="A182" s="10"/>
      <c r="B182" s="10"/>
      <c r="C182" s="10"/>
      <c r="D182" s="11" t="str">
        <f>IFERROR(VLOOKUP($C182,Спр_Измерения!$A$4:$F$16,2,0),"")</f>
        <v/>
      </c>
      <c r="E182" s="11" t="str">
        <f>IFERROR(VLOOKUP($C182,Спр_Измерения!$A$4:$F$16,3,0),"")</f>
        <v/>
      </c>
      <c r="F182" s="11" t="str">
        <f>IFERROR(VLOOKUP($C182,Спр_Измерения!$A$4:$F$16,4,0),"")</f>
        <v/>
      </c>
      <c r="G182" s="11" t="str">
        <f>IFERROR(VLOOKUP($C182,Спр_Измерения!$A$4:$F$16,5,0),"")</f>
        <v/>
      </c>
      <c r="H182" s="11" t="str">
        <f>IFERROR(VLOOKUP($C182,Спр_Измерения!$A$4:$G$16,6,0),"")</f>
        <v/>
      </c>
      <c r="I182" s="10"/>
      <c r="J182" s="11" t="str">
        <f>IFERROR(VLOOKUP($C182,Спр_Измерения!$A$4:$G$16,7,0),"")</f>
        <v/>
      </c>
      <c r="K182" s="9"/>
    </row>
    <row r="183">
      <c r="A183" s="10"/>
      <c r="B183" s="10"/>
      <c r="C183" s="10"/>
      <c r="D183" s="11" t="str">
        <f>IFERROR(VLOOKUP($C183,Спр_Измерения!$A$4:$F$16,2,0),"")</f>
        <v/>
      </c>
      <c r="E183" s="11" t="str">
        <f>IFERROR(VLOOKUP($C183,Спр_Измерения!$A$4:$F$16,3,0),"")</f>
        <v/>
      </c>
      <c r="F183" s="11" t="str">
        <f>IFERROR(VLOOKUP($C183,Спр_Измерения!$A$4:$F$16,4,0),"")</f>
        <v/>
      </c>
      <c r="G183" s="11" t="str">
        <f>IFERROR(VLOOKUP($C183,Спр_Измерения!$A$4:$F$16,5,0),"")</f>
        <v/>
      </c>
      <c r="H183" s="11" t="str">
        <f>IFERROR(VLOOKUP($C183,Спр_Измерения!$A$4:$G$16,6,0),"")</f>
        <v/>
      </c>
      <c r="I183" s="10"/>
      <c r="J183" s="11" t="str">
        <f>IFERROR(VLOOKUP($C183,Спр_Измерения!$A$4:$G$16,7,0),"")</f>
        <v/>
      </c>
      <c r="K183" s="9"/>
    </row>
    <row r="184">
      <c r="A184" s="10"/>
      <c r="B184" s="10"/>
      <c r="C184" s="10"/>
      <c r="D184" s="11" t="str">
        <f>IFERROR(VLOOKUP($C184,Спр_Измерения!$A$4:$F$16,2,0),"")</f>
        <v/>
      </c>
      <c r="E184" s="11" t="str">
        <f>IFERROR(VLOOKUP($C184,Спр_Измерения!$A$4:$F$16,3,0),"")</f>
        <v/>
      </c>
      <c r="F184" s="11" t="str">
        <f>IFERROR(VLOOKUP($C184,Спр_Измерения!$A$4:$F$16,4,0),"")</f>
        <v/>
      </c>
      <c r="G184" s="11" t="str">
        <f>IFERROR(VLOOKUP($C184,Спр_Измерения!$A$4:$F$16,5,0),"")</f>
        <v/>
      </c>
      <c r="H184" s="11" t="str">
        <f>IFERROR(VLOOKUP($C184,Спр_Измерения!$A$4:$G$16,6,0),"")</f>
        <v/>
      </c>
      <c r="I184" s="10"/>
      <c r="J184" s="11" t="str">
        <f>IFERROR(VLOOKUP($C184,Спр_Измерения!$A$4:$G$16,7,0),"")</f>
        <v/>
      </c>
      <c r="K184" s="9"/>
    </row>
    <row r="185">
      <c r="A185" s="10"/>
      <c r="B185" s="10"/>
      <c r="C185" s="10"/>
      <c r="D185" s="11" t="str">
        <f>IFERROR(VLOOKUP($C185,Спр_Измерения!$A$4:$F$16,2,0),"")</f>
        <v/>
      </c>
      <c r="E185" s="11" t="str">
        <f>IFERROR(VLOOKUP($C185,Спр_Измерения!$A$4:$F$16,3,0),"")</f>
        <v/>
      </c>
      <c r="F185" s="11" t="str">
        <f>IFERROR(VLOOKUP($C185,Спр_Измерения!$A$4:$F$16,4,0),"")</f>
        <v/>
      </c>
      <c r="G185" s="11" t="str">
        <f>IFERROR(VLOOKUP($C185,Спр_Измерения!$A$4:$F$16,5,0),"")</f>
        <v/>
      </c>
      <c r="H185" s="11" t="str">
        <f>IFERROR(VLOOKUP($C185,Спр_Измерения!$A$4:$G$16,6,0),"")</f>
        <v/>
      </c>
      <c r="I185" s="10"/>
      <c r="J185" s="11" t="str">
        <f>IFERROR(VLOOKUP($C185,Спр_Измерения!$A$4:$G$16,7,0),"")</f>
        <v/>
      </c>
      <c r="K185" s="9"/>
    </row>
    <row r="186">
      <c r="A186" s="10"/>
      <c r="B186" s="10"/>
      <c r="C186" s="10"/>
      <c r="D186" s="11" t="str">
        <f>IFERROR(VLOOKUP($C186,Спр_Измерения!$A$4:$F$16,2,0),"")</f>
        <v/>
      </c>
      <c r="E186" s="11" t="str">
        <f>IFERROR(VLOOKUP($C186,Спр_Измерения!$A$4:$F$16,3,0),"")</f>
        <v/>
      </c>
      <c r="F186" s="11" t="str">
        <f>IFERROR(VLOOKUP($C186,Спр_Измерения!$A$4:$F$16,4,0),"")</f>
        <v/>
      </c>
      <c r="G186" s="11" t="str">
        <f>IFERROR(VLOOKUP($C186,Спр_Измерения!$A$4:$F$16,5,0),"")</f>
        <v/>
      </c>
      <c r="H186" s="11" t="str">
        <f>IFERROR(VLOOKUP($C186,Спр_Измерения!$A$4:$G$16,6,0),"")</f>
        <v/>
      </c>
      <c r="I186" s="10"/>
      <c r="J186" s="11" t="str">
        <f>IFERROR(VLOOKUP($C186,Спр_Измерения!$A$4:$G$16,7,0),"")</f>
        <v/>
      </c>
      <c r="K186" s="9"/>
    </row>
    <row r="187">
      <c r="A187" s="10"/>
      <c r="B187" s="10"/>
      <c r="C187" s="10"/>
      <c r="D187" s="11" t="str">
        <f>IFERROR(VLOOKUP($C187,Спр_Измерения!$A$4:$F$16,2,0),"")</f>
        <v/>
      </c>
      <c r="E187" s="11" t="str">
        <f>IFERROR(VLOOKUP($C187,Спр_Измерения!$A$4:$F$16,3,0),"")</f>
        <v/>
      </c>
      <c r="F187" s="11" t="str">
        <f>IFERROR(VLOOKUP($C187,Спр_Измерения!$A$4:$F$16,4,0),"")</f>
        <v/>
      </c>
      <c r="G187" s="11" t="str">
        <f>IFERROR(VLOOKUP($C187,Спр_Измерения!$A$4:$F$16,5,0),"")</f>
        <v/>
      </c>
      <c r="H187" s="11" t="str">
        <f>IFERROR(VLOOKUP($C187,Спр_Измерения!$A$4:$G$16,6,0),"")</f>
        <v/>
      </c>
      <c r="I187" s="10"/>
      <c r="J187" s="11" t="str">
        <f>IFERROR(VLOOKUP($C187,Спр_Измерения!$A$4:$G$16,7,0),"")</f>
        <v/>
      </c>
      <c r="K187" s="9"/>
    </row>
    <row r="188">
      <c r="A188" s="10"/>
      <c r="B188" s="10"/>
      <c r="C188" s="10"/>
      <c r="D188" s="11" t="str">
        <f>IFERROR(VLOOKUP($C188,Спр_Измерения!$A$4:$F$16,2,0),"")</f>
        <v/>
      </c>
      <c r="E188" s="11" t="str">
        <f>IFERROR(VLOOKUP($C188,Спр_Измерения!$A$4:$F$16,3,0),"")</f>
        <v/>
      </c>
      <c r="F188" s="11" t="str">
        <f>IFERROR(VLOOKUP($C188,Спр_Измерения!$A$4:$F$16,4,0),"")</f>
        <v/>
      </c>
      <c r="G188" s="11" t="str">
        <f>IFERROR(VLOOKUP($C188,Спр_Измерения!$A$4:$F$16,5,0),"")</f>
        <v/>
      </c>
      <c r="H188" s="11" t="str">
        <f>IFERROR(VLOOKUP($C188,Спр_Измерения!$A$4:$G$16,6,0),"")</f>
        <v/>
      </c>
      <c r="I188" s="10"/>
      <c r="J188" s="11" t="str">
        <f>IFERROR(VLOOKUP($C188,Спр_Измерения!$A$4:$G$16,7,0),"")</f>
        <v/>
      </c>
      <c r="K188" s="9"/>
    </row>
    <row r="189">
      <c r="A189" s="10"/>
      <c r="B189" s="10"/>
      <c r="C189" s="10"/>
      <c r="D189" s="11" t="str">
        <f>IFERROR(VLOOKUP($C189,Спр_Измерения!$A$4:$F$16,2,0),"")</f>
        <v/>
      </c>
      <c r="E189" s="11" t="str">
        <f>IFERROR(VLOOKUP($C189,Спр_Измерения!$A$4:$F$16,3,0),"")</f>
        <v/>
      </c>
      <c r="F189" s="11" t="str">
        <f>IFERROR(VLOOKUP($C189,Спр_Измерения!$A$4:$F$16,4,0),"")</f>
        <v/>
      </c>
      <c r="G189" s="11" t="str">
        <f>IFERROR(VLOOKUP($C189,Спр_Измерения!$A$4:$F$16,5,0),"")</f>
        <v/>
      </c>
      <c r="H189" s="11" t="str">
        <f>IFERROR(VLOOKUP($C189,Спр_Измерения!$A$4:$G$16,6,0),"")</f>
        <v/>
      </c>
      <c r="I189" s="10"/>
      <c r="J189" s="11" t="str">
        <f>IFERROR(VLOOKUP($C189,Спр_Измерения!$A$4:$G$16,7,0),"")</f>
        <v/>
      </c>
      <c r="K189" s="9"/>
    </row>
    <row r="190">
      <c r="A190" s="10"/>
      <c r="B190" s="10"/>
      <c r="C190" s="10"/>
      <c r="D190" s="11" t="str">
        <f>IFERROR(VLOOKUP($C190,Спр_Измерения!$A$4:$F$16,2,0),"")</f>
        <v/>
      </c>
      <c r="E190" s="11" t="str">
        <f>IFERROR(VLOOKUP($C190,Спр_Измерения!$A$4:$F$16,3,0),"")</f>
        <v/>
      </c>
      <c r="F190" s="11" t="str">
        <f>IFERROR(VLOOKUP($C190,Спр_Измерения!$A$4:$F$16,4,0),"")</f>
        <v/>
      </c>
      <c r="G190" s="11" t="str">
        <f>IFERROR(VLOOKUP($C190,Спр_Измерения!$A$4:$F$16,5,0),"")</f>
        <v/>
      </c>
      <c r="H190" s="11" t="str">
        <f>IFERROR(VLOOKUP($C190,Спр_Измерения!$A$4:$G$16,6,0),"")</f>
        <v/>
      </c>
      <c r="I190" s="10"/>
      <c r="J190" s="11" t="str">
        <f>IFERROR(VLOOKUP($C190,Спр_Измерения!$A$4:$G$16,7,0),"")</f>
        <v/>
      </c>
      <c r="K190" s="9"/>
    </row>
    <row r="191">
      <c r="A191" s="10"/>
      <c r="B191" s="10"/>
      <c r="C191" s="10"/>
      <c r="D191" s="11" t="str">
        <f>IFERROR(VLOOKUP($C191,Спр_Измерения!$A$4:$F$16,2,0),"")</f>
        <v/>
      </c>
      <c r="E191" s="11" t="str">
        <f>IFERROR(VLOOKUP($C191,Спр_Измерения!$A$4:$F$16,3,0),"")</f>
        <v/>
      </c>
      <c r="F191" s="11" t="str">
        <f>IFERROR(VLOOKUP($C191,Спр_Измерения!$A$4:$F$16,4,0),"")</f>
        <v/>
      </c>
      <c r="G191" s="11" t="str">
        <f>IFERROR(VLOOKUP($C191,Спр_Измерения!$A$4:$F$16,5,0),"")</f>
        <v/>
      </c>
      <c r="H191" s="11" t="str">
        <f>IFERROR(VLOOKUP($C191,Спр_Измерения!$A$4:$G$16,6,0),"")</f>
        <v/>
      </c>
      <c r="I191" s="10"/>
      <c r="J191" s="11" t="str">
        <f>IFERROR(VLOOKUP($C191,Спр_Измерения!$A$4:$G$16,7,0),"")</f>
        <v/>
      </c>
      <c r="K191" s="9"/>
    </row>
    <row r="192">
      <c r="A192" s="10"/>
      <c r="B192" s="10"/>
      <c r="C192" s="10"/>
      <c r="D192" s="11" t="str">
        <f>IFERROR(VLOOKUP($C192,Спр_Измерения!$A$4:$F$16,2,0),"")</f>
        <v/>
      </c>
      <c r="E192" s="11" t="str">
        <f>IFERROR(VLOOKUP($C192,Спр_Измерения!$A$4:$F$16,3,0),"")</f>
        <v/>
      </c>
      <c r="F192" s="11" t="str">
        <f>IFERROR(VLOOKUP($C192,Спр_Измерения!$A$4:$F$16,4,0),"")</f>
        <v/>
      </c>
      <c r="G192" s="11" t="str">
        <f>IFERROR(VLOOKUP($C192,Спр_Измерения!$A$4:$F$16,5,0),"")</f>
        <v/>
      </c>
      <c r="H192" s="11" t="str">
        <f>IFERROR(VLOOKUP($C192,Спр_Измерения!$A$4:$G$16,6,0),"")</f>
        <v/>
      </c>
      <c r="I192" s="10"/>
      <c r="J192" s="11" t="str">
        <f>IFERROR(VLOOKUP($C192,Спр_Измерения!$A$4:$G$16,7,0),"")</f>
        <v/>
      </c>
      <c r="K192" s="9"/>
    </row>
    <row r="193">
      <c r="A193" s="10"/>
      <c r="B193" s="10"/>
      <c r="C193" s="10"/>
      <c r="D193" s="11" t="str">
        <f>IFERROR(VLOOKUP($C193,Спр_Измерения!$A$4:$F$16,2,0),"")</f>
        <v/>
      </c>
      <c r="E193" s="11" t="str">
        <f>IFERROR(VLOOKUP($C193,Спр_Измерения!$A$4:$F$16,3,0),"")</f>
        <v/>
      </c>
      <c r="F193" s="11" t="str">
        <f>IFERROR(VLOOKUP($C193,Спр_Измерения!$A$4:$F$16,4,0),"")</f>
        <v/>
      </c>
      <c r="G193" s="11" t="str">
        <f>IFERROR(VLOOKUP($C193,Спр_Измерения!$A$4:$F$16,5,0),"")</f>
        <v/>
      </c>
      <c r="H193" s="11" t="str">
        <f>IFERROR(VLOOKUP($C193,Спр_Измерения!$A$4:$G$16,6,0),"")</f>
        <v/>
      </c>
      <c r="I193" s="10"/>
      <c r="J193" s="11" t="str">
        <f>IFERROR(VLOOKUP($C193,Спр_Измерения!$A$4:$G$16,7,0),"")</f>
        <v/>
      </c>
      <c r="K193" s="9"/>
    </row>
    <row r="194">
      <c r="A194" s="10"/>
      <c r="B194" s="10"/>
      <c r="C194" s="10"/>
      <c r="D194" s="11" t="str">
        <f>IFERROR(VLOOKUP($C194,Спр_Измерения!$A$4:$F$16,2,0),"")</f>
        <v/>
      </c>
      <c r="E194" s="11" t="str">
        <f>IFERROR(VLOOKUP($C194,Спр_Измерения!$A$4:$F$16,3,0),"")</f>
        <v/>
      </c>
      <c r="F194" s="11" t="str">
        <f>IFERROR(VLOOKUP($C194,Спр_Измерения!$A$4:$F$16,4,0),"")</f>
        <v/>
      </c>
      <c r="G194" s="11" t="str">
        <f>IFERROR(VLOOKUP($C194,Спр_Измерения!$A$4:$F$16,5,0),"")</f>
        <v/>
      </c>
      <c r="H194" s="11" t="str">
        <f>IFERROR(VLOOKUP($C194,Спр_Измерения!$A$4:$G$16,6,0),"")</f>
        <v/>
      </c>
      <c r="I194" s="10"/>
      <c r="J194" s="11" t="str">
        <f>IFERROR(VLOOKUP($C194,Спр_Измерения!$A$4:$G$16,7,0),"")</f>
        <v/>
      </c>
      <c r="K194" s="9"/>
    </row>
    <row r="195">
      <c r="A195" s="10"/>
      <c r="B195" s="10"/>
      <c r="C195" s="10"/>
      <c r="D195" s="11" t="str">
        <f>IFERROR(VLOOKUP($C195,Спр_Измерения!$A$4:$F$16,2,0),"")</f>
        <v/>
      </c>
      <c r="E195" s="11" t="str">
        <f>IFERROR(VLOOKUP($C195,Спр_Измерения!$A$4:$F$16,3,0),"")</f>
        <v/>
      </c>
      <c r="F195" s="11" t="str">
        <f>IFERROR(VLOOKUP($C195,Спр_Измерения!$A$4:$F$16,4,0),"")</f>
        <v/>
      </c>
      <c r="G195" s="11" t="str">
        <f>IFERROR(VLOOKUP($C195,Спр_Измерения!$A$4:$F$16,5,0),"")</f>
        <v/>
      </c>
      <c r="H195" s="11" t="str">
        <f>IFERROR(VLOOKUP($C195,Спр_Измерения!$A$4:$G$16,6,0),"")</f>
        <v/>
      </c>
      <c r="I195" s="10"/>
      <c r="J195" s="11" t="str">
        <f>IFERROR(VLOOKUP($C195,Спр_Измерения!$A$4:$G$16,7,0),"")</f>
        <v/>
      </c>
      <c r="K195" s="9"/>
    </row>
    <row r="196">
      <c r="A196" s="10"/>
      <c r="B196" s="10"/>
      <c r="C196" s="10"/>
      <c r="D196" s="11" t="str">
        <f>IFERROR(VLOOKUP($C196,Спр_Измерения!$A$4:$F$16,2,0),"")</f>
        <v/>
      </c>
      <c r="E196" s="11" t="str">
        <f>IFERROR(VLOOKUP($C196,Спр_Измерения!$A$4:$F$16,3,0),"")</f>
        <v/>
      </c>
      <c r="F196" s="11" t="str">
        <f>IFERROR(VLOOKUP($C196,Спр_Измерения!$A$4:$F$16,4,0),"")</f>
        <v/>
      </c>
      <c r="G196" s="11" t="str">
        <f>IFERROR(VLOOKUP($C196,Спр_Измерения!$A$4:$F$16,5,0),"")</f>
        <v/>
      </c>
      <c r="H196" s="11" t="str">
        <f>IFERROR(VLOOKUP($C196,Спр_Измерения!$A$4:$G$16,6,0),"")</f>
        <v/>
      </c>
      <c r="I196" s="10"/>
      <c r="J196" s="11" t="str">
        <f>IFERROR(VLOOKUP($C196,Спр_Измерения!$A$4:$G$16,7,0),"")</f>
        <v/>
      </c>
      <c r="K196" s="9"/>
    </row>
    <row r="197">
      <c r="A197" s="10"/>
      <c r="B197" s="10"/>
      <c r="C197" s="10"/>
      <c r="D197" s="11" t="str">
        <f>IFERROR(VLOOKUP($C197,Спр_Измерения!$A$4:$F$16,2,0),"")</f>
        <v/>
      </c>
      <c r="E197" s="11" t="str">
        <f>IFERROR(VLOOKUP($C197,Спр_Измерения!$A$4:$F$16,3,0),"")</f>
        <v/>
      </c>
      <c r="F197" s="11" t="str">
        <f>IFERROR(VLOOKUP($C197,Спр_Измерения!$A$4:$F$16,4,0),"")</f>
        <v/>
      </c>
      <c r="G197" s="11" t="str">
        <f>IFERROR(VLOOKUP($C197,Спр_Измерения!$A$4:$F$16,5,0),"")</f>
        <v/>
      </c>
      <c r="H197" s="11" t="str">
        <f>IFERROR(VLOOKUP($C197,Спр_Измерения!$A$4:$G$16,6,0),"")</f>
        <v/>
      </c>
      <c r="I197" s="10"/>
      <c r="J197" s="11" t="str">
        <f>IFERROR(VLOOKUP($C197,Спр_Измерения!$A$4:$G$16,7,0),"")</f>
        <v/>
      </c>
      <c r="K197" s="9"/>
    </row>
    <row r="198">
      <c r="A198" s="10"/>
      <c r="B198" s="10"/>
      <c r="C198" s="10"/>
      <c r="D198" s="11" t="str">
        <f>IFERROR(VLOOKUP($C198,Спр_Измерения!$A$4:$F$16,2,0),"")</f>
        <v/>
      </c>
      <c r="E198" s="11" t="str">
        <f>IFERROR(VLOOKUP($C198,Спр_Измерения!$A$4:$F$16,3,0),"")</f>
        <v/>
      </c>
      <c r="F198" s="11" t="str">
        <f>IFERROR(VLOOKUP($C198,Спр_Измерения!$A$4:$F$16,4,0),"")</f>
        <v/>
      </c>
      <c r="G198" s="11" t="str">
        <f>IFERROR(VLOOKUP($C198,Спр_Измерения!$A$4:$F$16,5,0),"")</f>
        <v/>
      </c>
      <c r="H198" s="11" t="str">
        <f>IFERROR(VLOOKUP($C198,Спр_Измерения!$A$4:$G$16,6,0),"")</f>
        <v/>
      </c>
      <c r="I198" s="10"/>
      <c r="J198" s="11" t="str">
        <f>IFERROR(VLOOKUP($C198,Спр_Измерения!$A$4:$G$16,7,0),"")</f>
        <v/>
      </c>
      <c r="K198" s="9"/>
    </row>
    <row r="199">
      <c r="A199" s="10"/>
      <c r="B199" s="10"/>
      <c r="C199" s="10"/>
      <c r="D199" s="11" t="str">
        <f>IFERROR(VLOOKUP($C199,Спр_Измерения!$A$4:$F$16,2,0),"")</f>
        <v/>
      </c>
      <c r="E199" s="11" t="str">
        <f>IFERROR(VLOOKUP($C199,Спр_Измерения!$A$4:$F$16,3,0),"")</f>
        <v/>
      </c>
      <c r="F199" s="11" t="str">
        <f>IFERROR(VLOOKUP($C199,Спр_Измерения!$A$4:$F$16,4,0),"")</f>
        <v/>
      </c>
      <c r="G199" s="11" t="str">
        <f>IFERROR(VLOOKUP($C199,Спр_Измерения!$A$4:$F$16,5,0),"")</f>
        <v/>
      </c>
      <c r="H199" s="11" t="str">
        <f>IFERROR(VLOOKUP($C199,Спр_Измерения!$A$4:$G$16,6,0),"")</f>
        <v/>
      </c>
      <c r="I199" s="10"/>
      <c r="J199" s="11" t="str">
        <f>IFERROR(VLOOKUP($C199,Спр_Измерения!$A$4:$G$16,7,0),"")</f>
        <v/>
      </c>
      <c r="K199" s="9"/>
    </row>
    <row r="200">
      <c r="A200" s="10"/>
      <c r="B200" s="10"/>
      <c r="C200" s="10"/>
      <c r="D200" s="11" t="str">
        <f>IFERROR(VLOOKUP($C200,Спр_Измерения!$A$4:$F$16,2,0),"")</f>
        <v/>
      </c>
      <c r="E200" s="11" t="str">
        <f>IFERROR(VLOOKUP($C200,Спр_Измерения!$A$4:$F$16,3,0),"")</f>
        <v/>
      </c>
      <c r="F200" s="11" t="str">
        <f>IFERROR(VLOOKUP($C200,Спр_Измерения!$A$4:$F$16,4,0),"")</f>
        <v/>
      </c>
      <c r="G200" s="11" t="str">
        <f>IFERROR(VLOOKUP($C200,Спр_Измерения!$A$4:$F$16,5,0),"")</f>
        <v/>
      </c>
      <c r="H200" s="11" t="str">
        <f>IFERROR(VLOOKUP($C200,Спр_Измерения!$A$4:$G$16,6,0),"")</f>
        <v/>
      </c>
      <c r="I200" s="10"/>
      <c r="J200" s="11" t="str">
        <f>IFERROR(VLOOKUP($C200,Спр_Измерения!$A$4:$G$16,7,0),"")</f>
        <v/>
      </c>
      <c r="K200" s="9"/>
    </row>
    <row r="201">
      <c r="A201" s="10"/>
      <c r="B201" s="10"/>
      <c r="C201" s="10"/>
      <c r="D201" s="11" t="str">
        <f>IFERROR(VLOOKUP($C201,Спр_Измерения!$A$4:$F$16,2,0),"")</f>
        <v/>
      </c>
      <c r="E201" s="11" t="str">
        <f>IFERROR(VLOOKUP($C201,Спр_Измерения!$A$4:$F$16,3,0),"")</f>
        <v/>
      </c>
      <c r="F201" s="11" t="str">
        <f>IFERROR(VLOOKUP($C201,Спр_Измерения!$A$4:$F$16,4,0),"")</f>
        <v/>
      </c>
      <c r="G201" s="11" t="str">
        <f>IFERROR(VLOOKUP($C201,Спр_Измерения!$A$4:$F$16,5,0),"")</f>
        <v/>
      </c>
      <c r="H201" s="11" t="str">
        <f>IFERROR(VLOOKUP($C201,Спр_Измерения!$A$4:$G$16,6,0),"")</f>
        <v/>
      </c>
      <c r="I201" s="10"/>
      <c r="J201" s="11" t="str">
        <f>IFERROR(VLOOKUP($C201,Спр_Измерения!$A$4:$G$16,7,0),"")</f>
        <v/>
      </c>
      <c r="K201" s="9"/>
    </row>
    <row r="202">
      <c r="A202" s="10"/>
      <c r="B202" s="10"/>
      <c r="C202" s="10"/>
      <c r="D202" s="11" t="str">
        <f>IFERROR(VLOOKUP($C202,Спр_Измерения!$A$4:$F$16,2,0),"")</f>
        <v/>
      </c>
      <c r="E202" s="11" t="str">
        <f>IFERROR(VLOOKUP($C202,Спр_Измерения!$A$4:$F$16,3,0),"")</f>
        <v/>
      </c>
      <c r="F202" s="11" t="str">
        <f>IFERROR(VLOOKUP($C202,Спр_Измерения!$A$4:$F$16,4,0),"")</f>
        <v/>
      </c>
      <c r="G202" s="11" t="str">
        <f>IFERROR(VLOOKUP($C202,Спр_Измерения!$A$4:$F$16,5,0),"")</f>
        <v/>
      </c>
      <c r="H202" s="11" t="str">
        <f>IFERROR(VLOOKUP($C202,Спр_Измерения!$A$4:$G$16,6,0),"")</f>
        <v/>
      </c>
      <c r="I202" s="10"/>
      <c r="J202" s="11" t="str">
        <f>IFERROR(VLOOKUP($C202,Спр_Измерения!$A$4:$G$16,7,0),"")</f>
        <v/>
      </c>
      <c r="K202" s="9"/>
    </row>
  </sheetData>
  <dataValidations count="6" disablePrompts="0">
    <dataValidation sqref="C6:C202" type="list" allowBlank="1" errorStyle="stop" imeMode="noControl" operator="between" showDropDown="0" showErrorMessage="0" showInputMessage="0">
      <formula1>Спр_Измерения!$A$4:$A$16</formula1>
    </dataValidation>
    <dataValidation sqref="H6:H202" type="list" allowBlank="1" errorStyle="stop" imeMode="noControl" operator="between" showDropDown="0" showErrorMessage="0" showInputMessage="0">
      <formula1>Спр_Списки!$C$2:$C$3</formula1>
    </dataValidation>
    <dataValidation sqref="I6:I202" type="list" allowBlank="1" errorStyle="stop" imeMode="noControl" operator="between" showDropDown="0" showErrorMessage="0" showInputMessage="0">
      <formula1>СИ!$B$2:$B$30</formula1>
    </dataValidation>
    <dataValidation sqref="C2:C5" type="list" allowBlank="1" errorStyle="stop" imeMode="noControl" operator="between" showDropDown="0" showErrorMessage="0" showInputMessage="0">
      <formula1>Спр_Измерения!$A$4:$A$16</formula1>
    </dataValidation>
    <dataValidation sqref="H2:H5" type="list" allowBlank="1" errorStyle="stop" imeMode="noControl" operator="between" showDropDown="0" showErrorMessage="0" showInputMessage="0">
      <formula1>Спр_Списки!$C$2:$C$3</formula1>
    </dataValidation>
    <dataValidation sqref="I2:I3" type="list" allowBlank="1" errorStyle="stop" imeMode="noControl" operator="between" showDropDown="0" showErrorMessage="0" showInputMessage="0">
      <formula1>СИ!$B$2:$B$30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40"/>
    <col customWidth="1" min="2" max="2" width="20"/>
    <col customWidth="1" min="3" max="3" width="18"/>
    <col customWidth="1" min="4" max="4" width="32"/>
    <col customWidth="1" min="5" max="5" width="16"/>
    <col customWidth="1" min="6" max="6" width="22"/>
    <col customWidth="1" min="7" max="7" width="16"/>
  </cols>
  <sheetData>
    <row r="1" ht="44.100000000000001" customHeight="1">
      <c r="A1" s="2" t="s">
        <v>368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  <c r="G1" s="2" t="s">
        <v>306</v>
      </c>
    </row>
    <row r="2">
      <c r="A2" s="20" t="s">
        <v>374</v>
      </c>
      <c r="B2" s="20" t="s">
        <v>362</v>
      </c>
      <c r="C2" s="20">
        <v>10819</v>
      </c>
      <c r="D2" s="20" t="s">
        <v>375</v>
      </c>
      <c r="E2" s="21">
        <v>46224</v>
      </c>
      <c r="F2" s="21">
        <v>46589</v>
      </c>
      <c r="G2" s="20" t="s">
        <v>311</v>
      </c>
    </row>
    <row r="3">
      <c r="A3" s="20" t="s">
        <v>376</v>
      </c>
      <c r="B3" s="20" t="s">
        <v>364</v>
      </c>
      <c r="C3" s="20">
        <v>611010</v>
      </c>
      <c r="D3" s="20" t="s">
        <v>377</v>
      </c>
      <c r="E3" s="21">
        <v>46261</v>
      </c>
      <c r="F3" s="21">
        <v>46625</v>
      </c>
      <c r="G3" s="20" t="s">
        <v>311</v>
      </c>
    </row>
    <row r="4">
      <c r="A4" s="14"/>
      <c r="B4" s="14"/>
      <c r="C4" s="14"/>
      <c r="D4" s="14"/>
      <c r="E4" s="14"/>
      <c r="F4" s="14"/>
      <c r="G4" s="14"/>
    </row>
    <row r="5">
      <c r="A5" s="14"/>
      <c r="B5" s="14"/>
      <c r="C5" s="14"/>
      <c r="D5" s="14"/>
      <c r="E5" s="14"/>
      <c r="F5" s="14"/>
      <c r="G5" s="14"/>
    </row>
    <row r="6">
      <c r="A6" s="10"/>
      <c r="B6" s="10"/>
      <c r="C6" s="10"/>
      <c r="D6" s="10"/>
      <c r="E6" s="10"/>
      <c r="F6" s="10"/>
      <c r="G6" s="10"/>
    </row>
    <row r="7">
      <c r="A7" s="10"/>
      <c r="B7" s="10"/>
      <c r="C7" s="10"/>
      <c r="D7" s="10"/>
      <c r="E7" s="10"/>
      <c r="F7" s="10"/>
      <c r="G7" s="10"/>
    </row>
    <row r="8">
      <c r="A8" s="10"/>
      <c r="B8" s="10"/>
      <c r="C8" s="10"/>
      <c r="D8" s="10"/>
      <c r="E8" s="10"/>
      <c r="F8" s="10"/>
      <c r="G8" s="10"/>
    </row>
    <row r="9">
      <c r="A9" s="10"/>
      <c r="B9" s="10"/>
      <c r="C9" s="10"/>
      <c r="D9" s="10"/>
      <c r="E9" s="10"/>
      <c r="F9" s="10"/>
      <c r="G9" s="10"/>
    </row>
    <row r="10">
      <c r="A10" s="10"/>
      <c r="B10" s="10"/>
      <c r="C10" s="10"/>
      <c r="D10" s="10"/>
      <c r="E10" s="10"/>
      <c r="F10" s="10"/>
      <c r="G10" s="10"/>
    </row>
    <row r="11">
      <c r="A11" s="10"/>
      <c r="B11" s="10"/>
      <c r="C11" s="10"/>
      <c r="D11" s="10"/>
      <c r="E11" s="10"/>
      <c r="F11" s="10"/>
      <c r="G11" s="10"/>
    </row>
    <row r="12">
      <c r="A12" s="10"/>
      <c r="B12" s="10"/>
      <c r="C12" s="10"/>
      <c r="D12" s="10"/>
      <c r="E12" s="10"/>
      <c r="F12" s="10"/>
      <c r="G12" s="10"/>
    </row>
    <row r="13">
      <c r="A13" s="10"/>
      <c r="B13" s="10"/>
      <c r="C13" s="10"/>
      <c r="D13" s="10"/>
      <c r="E13" s="10"/>
      <c r="F13" s="10"/>
      <c r="G13" s="10"/>
    </row>
    <row r="14">
      <c r="A14" s="10"/>
      <c r="B14" s="10"/>
      <c r="C14" s="10"/>
      <c r="D14" s="10"/>
      <c r="E14" s="10"/>
      <c r="F14" s="10"/>
      <c r="G14" s="10"/>
    </row>
    <row r="15">
      <c r="A15" s="10"/>
      <c r="B15" s="10"/>
      <c r="C15" s="10"/>
      <c r="D15" s="10"/>
      <c r="E15" s="10"/>
      <c r="F15" s="10"/>
      <c r="G15" s="10"/>
    </row>
    <row r="16">
      <c r="A16" s="10"/>
      <c r="B16" s="10"/>
      <c r="C16" s="10"/>
      <c r="D16" s="10"/>
      <c r="E16" s="10"/>
      <c r="F16" s="10"/>
      <c r="G16" s="10"/>
    </row>
    <row r="17">
      <c r="A17" s="10"/>
      <c r="B17" s="10"/>
      <c r="C17" s="10"/>
      <c r="D17" s="10"/>
      <c r="E17" s="10"/>
      <c r="F17" s="10"/>
      <c r="G17" s="10"/>
    </row>
    <row r="18">
      <c r="A18" s="10"/>
      <c r="B18" s="10"/>
      <c r="C18" s="10"/>
      <c r="D18" s="10"/>
      <c r="E18" s="10"/>
      <c r="F18" s="10"/>
      <c r="G18" s="10"/>
    </row>
    <row r="19">
      <c r="A19" s="10"/>
      <c r="B19" s="10"/>
      <c r="C19" s="10"/>
      <c r="D19" s="10"/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</row>
    <row r="21">
      <c r="A21" s="10"/>
      <c r="B21" s="10"/>
      <c r="C21" s="10"/>
      <c r="D21" s="10"/>
      <c r="E21" s="10"/>
      <c r="F21" s="10"/>
      <c r="G21" s="10"/>
    </row>
    <row r="22">
      <c r="A22" s="10"/>
      <c r="B22" s="10"/>
      <c r="C22" s="10"/>
      <c r="D22" s="10"/>
      <c r="E22" s="10"/>
      <c r="F22" s="10"/>
      <c r="G22" s="10"/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C0016-006B-43B1-A19E-003400C30030}" type="list" allowBlank="1" errorStyle="stop" imeMode="noControl" operator="between" showDropDown="0" showErrorMessage="0" showInputMessage="1">
          <x14:formula1>
            <xm:f>Приборы_Наим</xm:f>
          </x14:formula1>
          <xm:sqref>A4:A30</xm:sqref>
        </x14:dataValidation>
        <x14:dataValidation xr:uid="{0045006A-0096-4F55-97D1-00DC00BE0008}" type="list" allowBlank="1" errorStyle="stop" imeMode="noControl" operator="between" showDropDown="0" showErrorMessage="0" showInputMessage="1">
          <x14:formula1>
            <xm:f>Приборы_Марки</xm:f>
          </x14:formula1>
          <xm:sqref>B4:B30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ySplit="2" topLeftCell="A3" activePane="bottomLeft" state="frozen"/>
      <selection activeCell="A1" activeCellId="0" sqref="A1"/>
    </sheetView>
  </sheetViews>
  <sheetFormatPr defaultRowHeight="14.25"/>
  <cols>
    <col customWidth="1" min="1" max="1" width="6"/>
    <col customWidth="1" min="2" max="2" width="38"/>
    <col customWidth="1" min="3" max="3" width="22"/>
    <col customWidth="1" min="4" max="4" width="12"/>
    <col customWidth="1" min="5" max="5" width="40"/>
    <col customWidth="1" min="6" max="6" width="42"/>
    <col customWidth="1" min="7" max="7" width="24"/>
    <col customWidth="1" min="8" max="8" width="20"/>
    <col customWidth="1" min="9" max="9" width="22"/>
  </cols>
  <sheetData>
    <row r="1" ht="44.100000000000001" customHeight="1">
      <c r="A1" s="2" t="s">
        <v>296</v>
      </c>
      <c r="B1" s="2" t="s">
        <v>378</v>
      </c>
      <c r="C1" s="2" t="s">
        <v>297</v>
      </c>
      <c r="D1" s="2" t="s">
        <v>326</v>
      </c>
      <c r="E1" s="2" t="s">
        <v>337</v>
      </c>
      <c r="F1" s="2" t="s">
        <v>379</v>
      </c>
      <c r="G1" s="2" t="s">
        <v>380</v>
      </c>
      <c r="H1" s="2" t="s">
        <v>381</v>
      </c>
      <c r="I1" s="2" t="s">
        <v>382</v>
      </c>
    </row>
    <row r="2" ht="48" customHeight="1">
      <c r="A2" s="22" t="s">
        <v>383</v>
      </c>
      <c r="B2" s="4"/>
      <c r="C2" s="4"/>
      <c r="D2" s="4"/>
      <c r="E2" s="4"/>
      <c r="F2" s="4"/>
      <c r="G2" s="4"/>
      <c r="H2" s="4"/>
      <c r="I2" s="4"/>
    </row>
    <row r="3">
      <c r="A3" s="11" t="str">
        <f>IF(IFERROR(_xludf.AGGREGATE(15,6,ROW(Измерения!$H$2:$H$202)/((Измерения!$H$2:$H$202="не соответствует")+(Измерения!$H$2:$H$202="недостаточно")),1),"")="","",1)</f>
        <v/>
      </c>
      <c r="B3" s="11" t="str">
        <f>IF(IFERROR(_xludf.AGGREGATE(15,6,ROW(Измерения!$H$2:$H$202)/((Измерения!$H$2:$H$202="не соответствует")+(Измерения!$H$2:$H$202="недостаточно")),1),"")="","",IF(IF(INDEX(Измерения!$J:$J,IFERROR(_xludf.AGGREGATE(15,6,ROW(Измерения!$H$2:$H$202)/((Измерения!$H$2:$H$202="не соответствует")+(Измерения!$H$2:$H$202="недостаточно")),1),""))="Г.2 — достаточность интервалов",1,0)=1,"Е.1 — обусловлено размещением (пользователь)","Е.2 — эксплуатация (владелец)"))</f>
        <v/>
      </c>
      <c r="C3" s="11" t="str">
        <f>IFERROR(INDEX(Измерения!$B:$B,IFERROR(_xludf.AGGREGATE(15,6,ROW(Измерения!$H$2:$H$202)/((Измерения!$H$2:$H$202="не соответствует")+(Измерения!$H$2:$H$202="недостаточно")),1),"")),"")</f>
        <v/>
      </c>
      <c r="D3" s="11" t="str">
        <f>IFERROR(INDEX(Измерения!$A:$A,IFERROR(_xludf.AGGREGATE(15,6,ROW(Измерения!$H$2:$H$202)/((Измерения!$H$2:$H$202="не соответствует")+(Измерения!$H$2:$H$202="недостаточно")),1),"")),"")</f>
        <v/>
      </c>
      <c r="E3" s="11" t="str">
        <f>IF(IFERROR(_xludf.AGGREGATE(15,6,ROW(Измерения!$H$2:$H$202)/((Измерения!$H$2:$H$202="не соответствует")+(Измерения!$H$2:$H$202="недостаточно")),1),"")="","",IF(IF(INDEX(Измерения!$J:$J,IFERROR(_xludf.AGGREGATE(15,6,ROW(Измерения!$H$2:$H$202)/((Измерения!$H$2:$H$202="не соответствует")+(Измерения!$H$2:$H$202="недостаточно")),1),""))="Г.2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" s="11" t="str">
        <f>IFERROR(INDEX(Измерения!$C:$C,IFERROR(_xludf.AGGREGATE(15,6,ROW(Измерения!$H$2:$H$202)/((Измерения!$H$2:$H$202="не соответствует")+(Измерения!$H$2:$H$202="недостаточно")),1),""))&amp;": "&amp;INDEX(Измерения!$E:$E,IFERROR(_xludf.AGGREGATE(15,6,ROW(Измерения!$H$2:$H$202)/((Измерения!$H$2:$H$202="не соответствует")+(Измерения!$H$2:$H$202="недостаточно")),1),""))&amp;" "&amp;INDEX(Измерения!$F:$F,IFERROR(_xludf.AGGREGATE(15,6,ROW(Измерения!$H$2:$H$202)/((Измерения!$H$2:$H$202="не соответствует")+(Измерения!$H$2:$H$202="недостаточно")),1),""))&amp;" при норме — "&amp;INDEX(Измерения!$G:$G,IFERROR(_xludf.AGGREGATE(15,6,ROW(Измерения!$H$2:$H$202)/((Измерения!$H$2:$H$202="не соответствует")+(Измерения!$H$2:$H$202="недостаточно")),1),"")),"")</f>
        <v/>
      </c>
      <c r="G3" s="11" t="str">
        <f>IF(IFERROR(_xludf.AGGREGATE(15,6,ROW(Измерения!$H$2:$H$202)/((Измерения!$H$2:$H$202="не соответствует")+(Измерения!$H$2:$H$202="недостаточно")),1),"")="","",IF(IF(INDEX(Измерения!$J:$J,IFERROR(_xludf.AGGREGATE(15,6,ROW(Измерения!$H$2:$H$202)/((Измерения!$H$2:$H$202="не соответствует")+(Измерения!$H$2:$H$202="недостаточно")),1),""))="Г.2 — достаточность интервалов",1,0)=1,"Пользователь инфраструктуры","Владелец инфраструктуры"))</f>
        <v/>
      </c>
      <c r="H3" s="10"/>
      <c r="I3" s="10"/>
    </row>
    <row r="4">
      <c r="A4" s="11" t="str">
        <f>IF(IFERROR(_xludf.AGGREGATE(15,6,ROW(Измерения!$H$2:$H$202)/((Измерения!$H$2:$H$202="не соответствует")+(Измерения!$H$2:$H$202="недостаточно")),2),"")="","",2)</f>
        <v/>
      </c>
      <c r="B4" s="11" t="str">
        <f>IF(IFERROR(_xludf.AGGREGATE(15,6,ROW(Измерения!$H$2:$H$202)/((Измерения!$H$2:$H$202="не соответствует")+(Измерения!$H$2:$H$202="недостаточно")),2),"")="","",IF(IF(INDEX(Измерения!$J:$J,IFERROR(_xludf.AGGREGATE(15,6,ROW(Измерения!$H$2:$H$202)/((Измерения!$H$2:$H$202="не соответствует")+(Измерения!$H$2:$H$202="недостаточно")),2),""))="Г.2 — достаточность интервалов",1,0)=1,"Е.1 — обусловлено размещением (пользователь)","Е.2 — эксплуатация (владелец)"))</f>
        <v/>
      </c>
      <c r="C4" s="11" t="str">
        <f>IFERROR(INDEX(Измерения!$B:$B,IFERROR(_xludf.AGGREGATE(15,6,ROW(Измерения!$H$2:$H$202)/((Измерения!$H$2:$H$202="не соответствует")+(Измерения!$H$2:$H$202="недостаточно")),2),"")),"")</f>
        <v/>
      </c>
      <c r="D4" s="11" t="str">
        <f>IFERROR(INDEX(Измерения!$A:$A,IFERROR(_xludf.AGGREGATE(15,6,ROW(Измерения!$H$2:$H$202)/((Измерения!$H$2:$H$202="не соответствует")+(Измерения!$H$2:$H$202="недостаточно")),2),"")),"")</f>
        <v/>
      </c>
      <c r="E4" s="11" t="str">
        <f>IF(IFERROR(_xludf.AGGREGATE(15,6,ROW(Измерения!$H$2:$H$202)/((Измерения!$H$2:$H$202="не соответствует")+(Измерения!$H$2:$H$202="недостаточно")),2),"")="","",IF(IF(INDEX(Измерения!$J:$J,IFERROR(_xludf.AGGREGATE(15,6,ROW(Измерения!$H$2:$H$202)/((Измерения!$H$2:$H$202="не соответствует")+(Измерения!$H$2:$H$202="недостаточно")),2),""))="Г.2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" s="11" t="str">
        <f>IFERROR(INDEX(Измерения!$C:$C,IFERROR(_xludf.AGGREGATE(15,6,ROW(Измерения!$H$2:$H$202)/((Измерения!$H$2:$H$202="не соответствует")+(Измерения!$H$2:$H$202="недостаточно")),2),""))&amp;": "&amp;INDEX(Измерения!$E:$E,IFERROR(_xludf.AGGREGATE(15,6,ROW(Измерения!$H$2:$H$202)/((Измерения!$H$2:$H$202="не соответствует")+(Измерения!$H$2:$H$202="недостаточно")),2),""))&amp;" "&amp;INDEX(Измерения!$F:$F,IFERROR(_xludf.AGGREGATE(15,6,ROW(Измерения!$H$2:$H$202)/((Измерения!$H$2:$H$202="не соответствует")+(Измерения!$H$2:$H$202="недостаточно")),2),""))&amp;" при норме — "&amp;INDEX(Измерения!$G:$G,IFERROR(_xludf.AGGREGATE(15,6,ROW(Измерения!$H$2:$H$202)/((Измерения!$H$2:$H$202="не соответствует")+(Измерения!$H$2:$H$202="недостаточно")),2),"")),"")</f>
        <v/>
      </c>
      <c r="G4" s="11" t="str">
        <f>IF(IFERROR(_xludf.AGGREGATE(15,6,ROW(Измерения!$H$2:$H$202)/((Измерения!$H$2:$H$202="не соответствует")+(Измерения!$H$2:$H$202="недостаточно")),2),"")="","",IF(IF(INDEX(Измерения!$J:$J,IFERROR(_xludf.AGGREGATE(15,6,ROW(Измерения!$H$2:$H$202)/((Измерения!$H$2:$H$202="не соответствует")+(Измерения!$H$2:$H$202="недостаточно")),2),""))="Г.2 — достаточность интервалов",1,0)=1,"Пользователь инфраструктуры","Владелец инфраструктуры"))</f>
        <v/>
      </c>
      <c r="H4" s="10"/>
      <c r="I4" s="10"/>
    </row>
    <row r="5">
      <c r="A5" s="11" t="str">
        <f>IF(IFERROR(_xludf.AGGREGATE(15,6,ROW(Измерения!$H$2:$H$202)/((Измерения!$H$2:$H$202="не соответствует")+(Измерения!$H$2:$H$202="недостаточно")),3),"")="","",3)</f>
        <v/>
      </c>
      <c r="B5" s="11" t="str">
        <f>IF(IFERROR(_xludf.AGGREGATE(15,6,ROW(Измерения!$H$2:$H$202)/((Измерения!$H$2:$H$202="не соответствует")+(Измерения!$H$2:$H$202="недостаточно")),3),"")="","",IF(IF(INDEX(Измерения!$J:$J,IFERROR(_xludf.AGGREGATE(15,6,ROW(Измерения!$H$2:$H$202)/((Измерения!$H$2:$H$202="не соответствует")+(Измерения!$H$2:$H$202="недостаточно")),3),""))="Г.2 — достаточность интервалов",1,0)=1,"Е.1 — обусловлено размещением (пользователь)","Е.2 — эксплуатация (владелец)"))</f>
        <v/>
      </c>
      <c r="C5" s="11" t="str">
        <f>IFERROR(INDEX(Измерения!$B:$B,IFERROR(_xludf.AGGREGATE(15,6,ROW(Измерения!$H$2:$H$202)/((Измерения!$H$2:$H$202="не соответствует")+(Измерения!$H$2:$H$202="недостаточно")),3),"")),"")</f>
        <v/>
      </c>
      <c r="D5" s="11" t="str">
        <f>IFERROR(INDEX(Измерения!$A:$A,IFERROR(_xludf.AGGREGATE(15,6,ROW(Измерения!$H$2:$H$202)/((Измерения!$H$2:$H$202="не соответствует")+(Измерения!$H$2:$H$202="недостаточно")),3),"")),"")</f>
        <v/>
      </c>
      <c r="E5" s="11" t="str">
        <f>IF(IFERROR(_xludf.AGGREGATE(15,6,ROW(Измерения!$H$2:$H$202)/((Измерения!$H$2:$H$202="не соответствует")+(Измерения!$H$2:$H$202="недостаточно")),3),"")="","",IF(IF(INDEX(Измерения!$J:$J,IFERROR(_xludf.AGGREGATE(15,6,ROW(Измерения!$H$2:$H$202)/((Измерения!$H$2:$H$202="не соответствует")+(Измерения!$H$2:$H$202="недостаточно")),3),""))="Г.2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" s="11" t="str">
        <f>IFERROR(INDEX(Измерения!$C:$C,IFERROR(_xludf.AGGREGATE(15,6,ROW(Измерения!$H$2:$H$202)/((Измерения!$H$2:$H$202="не соответствует")+(Измерения!$H$2:$H$202="недостаточно")),3),""))&amp;": "&amp;INDEX(Измерения!$E:$E,IFERROR(_xludf.AGGREGATE(15,6,ROW(Измерения!$H$2:$H$202)/((Измерения!$H$2:$H$202="не соответствует")+(Измерения!$H$2:$H$202="недостаточно")),3),""))&amp;" "&amp;INDEX(Измерения!$F:$F,IFERROR(_xludf.AGGREGATE(15,6,ROW(Измерения!$H$2:$H$202)/((Измерения!$H$2:$H$202="не соответствует")+(Измерения!$H$2:$H$202="недостаточно")),3),""))&amp;" при норме — "&amp;INDEX(Измерения!$G:$G,IFERROR(_xludf.AGGREGATE(15,6,ROW(Измерения!$H$2:$H$202)/((Измерения!$H$2:$H$202="не соответствует")+(Измерения!$H$2:$H$202="недостаточно")),3),"")),"")</f>
        <v/>
      </c>
      <c r="G5" s="11" t="str">
        <f>IF(IFERROR(_xludf.AGGREGATE(15,6,ROW(Измерения!$H$2:$H$202)/((Измерения!$H$2:$H$202="не соответствует")+(Измерения!$H$2:$H$202="недостаточно")),3),"")="","",IF(IF(INDEX(Измерения!$J:$J,IFERROR(_xludf.AGGREGATE(15,6,ROW(Измерения!$H$2:$H$202)/((Измерения!$H$2:$H$202="не соответствует")+(Измерения!$H$2:$H$202="недостаточно")),3),""))="Г.2 — достаточность интервалов",1,0)=1,"Пользователь инфраструктуры","Владелец инфраструктуры"))</f>
        <v/>
      </c>
      <c r="H5" s="10"/>
      <c r="I5" s="10"/>
    </row>
    <row r="6">
      <c r="A6" s="11" t="str">
        <f>IF(IFERROR(_xludf.AGGREGATE(15,6,ROW(Измерения!$H$2:$H$202)/((Измерения!$H$2:$H$202="не соответствует")+(Измерения!$H$2:$H$202="недостаточно")),4),"")="","",4)</f>
        <v/>
      </c>
      <c r="B6" s="11" t="str">
        <f>IF(IFERROR(_xludf.AGGREGATE(15,6,ROW(Измерения!$H$2:$H$202)/((Измерения!$H$2:$H$202="не соответствует")+(Измерения!$H$2:$H$202="недостаточно")),4),"")="","",IF(IF(INDEX(Измерения!$J:$J,IFERROR(_xludf.AGGREGATE(15,6,ROW(Измерения!$H$2:$H$202)/((Измерения!$H$2:$H$202="не соответствует")+(Измерения!$H$2:$H$202="недостаточно")),4),""))="Г.2 — достаточность интервалов",1,0)=1,"Е.1 — обусловлено размещением (пользователь)","Е.2 — эксплуатация (владелец)"))</f>
        <v/>
      </c>
      <c r="C6" s="11" t="str">
        <f>IFERROR(INDEX(Измерения!$B:$B,IFERROR(_xludf.AGGREGATE(15,6,ROW(Измерения!$H$2:$H$202)/((Измерения!$H$2:$H$202="не соответствует")+(Измерения!$H$2:$H$202="недостаточно")),4),"")),"")</f>
        <v/>
      </c>
      <c r="D6" s="11" t="str">
        <f>IFERROR(INDEX(Измерения!$A:$A,IFERROR(_xludf.AGGREGATE(15,6,ROW(Измерения!$H$2:$H$202)/((Измерения!$H$2:$H$202="не соответствует")+(Измерения!$H$2:$H$202="недостаточно")),4),"")),"")</f>
        <v/>
      </c>
      <c r="E6" s="11" t="str">
        <f>IF(IFERROR(_xludf.AGGREGATE(15,6,ROW(Измерения!$H$2:$H$202)/((Измерения!$H$2:$H$202="не соответствует")+(Измерения!$H$2:$H$202="недостаточно")),4),"")="","",IF(IF(INDEX(Измерения!$J:$J,IFERROR(_xludf.AGGREGATE(15,6,ROW(Измерения!$H$2:$H$202)/((Измерения!$H$2:$H$202="не соответствует")+(Измерения!$H$2:$H$202="недостаточно")),4),""))="Г.2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" s="11" t="str">
        <f>IFERROR(INDEX(Измерения!$C:$C,IFERROR(_xludf.AGGREGATE(15,6,ROW(Измерения!$H$2:$H$202)/((Измерения!$H$2:$H$202="не соответствует")+(Измерения!$H$2:$H$202="недостаточно")),4),""))&amp;": "&amp;INDEX(Измерения!$E:$E,IFERROR(_xludf.AGGREGATE(15,6,ROW(Измерения!$H$2:$H$202)/((Измерения!$H$2:$H$202="не соответствует")+(Измерения!$H$2:$H$202="недостаточно")),4),""))&amp;" "&amp;INDEX(Измерения!$F:$F,IFERROR(_xludf.AGGREGATE(15,6,ROW(Измерения!$H$2:$H$202)/((Измерения!$H$2:$H$202="не соответствует")+(Измерения!$H$2:$H$202="недостаточно")),4),""))&amp;" при норме — "&amp;INDEX(Измерения!$G:$G,IFERROR(_xludf.AGGREGATE(15,6,ROW(Измерения!$H$2:$H$202)/((Измерения!$H$2:$H$202="не соответствует")+(Измерения!$H$2:$H$202="недостаточно")),4),"")),"")</f>
        <v/>
      </c>
      <c r="G6" s="11" t="str">
        <f>IF(IFERROR(_xludf.AGGREGATE(15,6,ROW(Измерения!$H$2:$H$202)/((Измерения!$H$2:$H$202="не соответствует")+(Измерения!$H$2:$H$202="недостаточно")),4),"")="","",IF(IF(INDEX(Измерения!$J:$J,IFERROR(_xludf.AGGREGATE(15,6,ROW(Измерения!$H$2:$H$202)/((Измерения!$H$2:$H$202="не соответствует")+(Измерения!$H$2:$H$202="недостаточно")),4),""))="Г.2 — достаточность интервалов",1,0)=1,"Пользователь инфраструктуры","Владелец инфраструктуры"))</f>
        <v/>
      </c>
      <c r="H6" s="10"/>
      <c r="I6" s="10"/>
    </row>
    <row r="7">
      <c r="A7" s="11" t="str">
        <f>IF(IFERROR(_xludf.AGGREGATE(15,6,ROW(Измерения!$H$2:$H$202)/((Измерения!$H$2:$H$202="не соответствует")+(Измерения!$H$2:$H$202="недостаточно")),5),"")="","",5)</f>
        <v/>
      </c>
      <c r="B7" s="11" t="str">
        <f>IF(IFERROR(_xludf.AGGREGATE(15,6,ROW(Измерения!$H$2:$H$202)/((Измерения!$H$2:$H$202="не соответствует")+(Измерения!$H$2:$H$202="недостаточно")),5),"")="","",IF(IF(INDEX(Измерения!$J:$J,IFERROR(_xludf.AGGREGATE(15,6,ROW(Измерения!$H$2:$H$202)/((Измерения!$H$2:$H$202="не соответствует")+(Измерения!$H$2:$H$202="недостаточно")),5),""))="Г.2 — достаточность интервалов",1,0)=1,"Е.1 — обусловлено размещением (пользователь)","Е.2 — эксплуатация (владелец)"))</f>
        <v/>
      </c>
      <c r="C7" s="11" t="str">
        <f>IFERROR(INDEX(Измерения!$B:$B,IFERROR(_xludf.AGGREGATE(15,6,ROW(Измерения!$H$2:$H$202)/((Измерения!$H$2:$H$202="не соответствует")+(Измерения!$H$2:$H$202="недостаточно")),5),"")),"")</f>
        <v/>
      </c>
      <c r="D7" s="11" t="str">
        <f>IFERROR(INDEX(Измерения!$A:$A,IFERROR(_xludf.AGGREGATE(15,6,ROW(Измерения!$H$2:$H$202)/((Измерения!$H$2:$H$202="не соответствует")+(Измерения!$H$2:$H$202="недостаточно")),5),"")),"")</f>
        <v/>
      </c>
      <c r="E7" s="11" t="str">
        <f>IF(IFERROR(_xludf.AGGREGATE(15,6,ROW(Измерения!$H$2:$H$202)/((Измерения!$H$2:$H$202="не соответствует")+(Измерения!$H$2:$H$202="недостаточно")),5),"")="","",IF(IF(INDEX(Измерения!$J:$J,IFERROR(_xludf.AGGREGATE(15,6,ROW(Измерения!$H$2:$H$202)/((Измерения!$H$2:$H$202="не соответствует")+(Измерения!$H$2:$H$202="недостаточно")),5),""))="Г.2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7" s="11" t="str">
        <f>IFERROR(INDEX(Измерения!$C:$C,IFERROR(_xludf.AGGREGATE(15,6,ROW(Измерения!$H$2:$H$202)/((Измерения!$H$2:$H$202="не соответствует")+(Измерения!$H$2:$H$202="недостаточно")),5),""))&amp;": "&amp;INDEX(Измерения!$E:$E,IFERROR(_xludf.AGGREGATE(15,6,ROW(Измерения!$H$2:$H$202)/((Измерения!$H$2:$H$202="не соответствует")+(Измерения!$H$2:$H$202="недостаточно")),5),""))&amp;" "&amp;INDEX(Измерения!$F:$F,IFERROR(_xludf.AGGREGATE(15,6,ROW(Измерения!$H$2:$H$202)/((Измерения!$H$2:$H$202="не соответствует")+(Измерения!$H$2:$H$202="недостаточно")),5),""))&amp;" при норме — "&amp;INDEX(Измерения!$G:$G,IFERROR(_xludf.AGGREGATE(15,6,ROW(Измерения!$H$2:$H$202)/((Измерения!$H$2:$H$202="не соответствует")+(Измерения!$H$2:$H$202="недостаточно")),5),"")),"")</f>
        <v/>
      </c>
      <c r="G7" s="11" t="str">
        <f>IF(IFERROR(_xludf.AGGREGATE(15,6,ROW(Измерения!$H$2:$H$202)/((Измерения!$H$2:$H$202="не соответствует")+(Измерения!$H$2:$H$202="недостаточно")),5),"")="","",IF(IF(INDEX(Измерения!$J:$J,IFERROR(_xludf.AGGREGATE(15,6,ROW(Измерения!$H$2:$H$202)/((Измерения!$H$2:$H$202="не соответствует")+(Измерения!$H$2:$H$202="недостаточно")),5),""))="Г.2 — достаточность интервалов",1,0)=1,"Пользователь инфраструктуры","Владелец инфраструктуры"))</f>
        <v/>
      </c>
      <c r="H7" s="10"/>
      <c r="I7" s="10"/>
    </row>
    <row r="8">
      <c r="A8" s="11" t="str">
        <f>IF(IFERROR(_xludf.AGGREGATE(15,6,ROW(Измерения!$H$2:$H$202)/((Измерения!$H$2:$H$202="не соответствует")+(Измерения!$H$2:$H$202="недостаточно")),6),"")="","",6)</f>
        <v/>
      </c>
      <c r="B8" s="11" t="str">
        <f>IF(IFERROR(_xludf.AGGREGATE(15,6,ROW(Измерения!$H$2:$H$202)/((Измерения!$H$2:$H$202="не соответствует")+(Измерения!$H$2:$H$202="недостаточно")),6),"")="","",IF(IF(INDEX(Измерения!$J:$J,IFERROR(_xludf.AGGREGATE(15,6,ROW(Измерения!$H$2:$H$202)/((Измерения!$H$2:$H$202="не соответствует")+(Измерения!$H$2:$H$202="недостаточно")),6),""))="Г.2 — достаточность интервалов",1,0)=1,"Е.1 — обусловлено размещением (пользователь)","Е.2 — эксплуатация (владелец)"))</f>
        <v/>
      </c>
      <c r="C8" s="11" t="str">
        <f>IFERROR(INDEX(Измерения!$B:$B,IFERROR(_xludf.AGGREGATE(15,6,ROW(Измерения!$H$2:$H$202)/((Измерения!$H$2:$H$202="не соответствует")+(Измерения!$H$2:$H$202="недостаточно")),6),"")),"")</f>
        <v/>
      </c>
      <c r="D8" s="11" t="str">
        <f>IFERROR(INDEX(Измерения!$A:$A,IFERROR(_xludf.AGGREGATE(15,6,ROW(Измерения!$H$2:$H$202)/((Измерения!$H$2:$H$202="не соответствует")+(Измерения!$H$2:$H$202="недостаточно")),6),"")),"")</f>
        <v/>
      </c>
      <c r="E8" s="11" t="str">
        <f>IF(IFERROR(_xludf.AGGREGATE(15,6,ROW(Измерения!$H$2:$H$202)/((Измерения!$H$2:$H$202="не соответствует")+(Измерения!$H$2:$H$202="недостаточно")),6),"")="","",IF(IF(INDEX(Измерения!$J:$J,IFERROR(_xludf.AGGREGATE(15,6,ROW(Измерения!$H$2:$H$202)/((Измерения!$H$2:$H$202="не соответствует")+(Измерения!$H$2:$H$202="недостаточно")),6),""))="Г.2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8" s="11" t="str">
        <f>IFERROR(INDEX(Измерения!$C:$C,IFERROR(_xludf.AGGREGATE(15,6,ROW(Измерения!$H$2:$H$202)/((Измерения!$H$2:$H$202="не соответствует")+(Измерения!$H$2:$H$202="недостаточно")),6),""))&amp;": "&amp;INDEX(Измерения!$E:$E,IFERROR(_xludf.AGGREGATE(15,6,ROW(Измерения!$H$2:$H$202)/((Измерения!$H$2:$H$202="не соответствует")+(Измерения!$H$2:$H$202="недостаточно")),6),""))&amp;" "&amp;INDEX(Измерения!$F:$F,IFERROR(_xludf.AGGREGATE(15,6,ROW(Измерения!$H$2:$H$202)/((Измерения!$H$2:$H$202="не соответствует")+(Измерения!$H$2:$H$202="недостаточно")),6),""))&amp;" при норме — "&amp;INDEX(Измерения!$G:$G,IFERROR(_xludf.AGGREGATE(15,6,ROW(Измерения!$H$2:$H$202)/((Измерения!$H$2:$H$202="не соответствует")+(Измерения!$H$2:$H$202="недостаточно")),6),"")),"")</f>
        <v/>
      </c>
      <c r="G8" s="11" t="str">
        <f>IF(IFERROR(_xludf.AGGREGATE(15,6,ROW(Измерения!$H$2:$H$202)/((Измерения!$H$2:$H$202="не соответствует")+(Измерения!$H$2:$H$202="недостаточно")),6),"")="","",IF(IF(INDEX(Измерения!$J:$J,IFERROR(_xludf.AGGREGATE(15,6,ROW(Измерения!$H$2:$H$202)/((Измерения!$H$2:$H$202="не соответствует")+(Измерения!$H$2:$H$202="недостаточно")),6),""))="Г.2 — достаточность интервалов",1,0)=1,"Пользователь инфраструктуры","Владелец инфраструктуры"))</f>
        <v/>
      </c>
      <c r="H8" s="10"/>
      <c r="I8" s="10"/>
    </row>
    <row r="9">
      <c r="A9" s="11" t="str">
        <f>IF(IFERROR(_xludf.AGGREGATE(15,6,ROW(Измерения!$H$2:$H$202)/((Измерения!$H$2:$H$202="не соответствует")+(Измерения!$H$2:$H$202="недостаточно")),7),"")="","",7)</f>
        <v/>
      </c>
      <c r="B9" s="11" t="str">
        <f>IF(IFERROR(_xludf.AGGREGATE(15,6,ROW(Измерения!$H$2:$H$202)/((Измерения!$H$2:$H$202="не соответствует")+(Измерения!$H$2:$H$202="недостаточно")),7),"")="","",IF(IF(INDEX(Измерения!$J:$J,IFERROR(_xludf.AGGREGATE(15,6,ROW(Измерения!$H$2:$H$202)/((Измерения!$H$2:$H$202="не соответствует")+(Измерения!$H$2:$H$202="недостаточно")),7),""))="Г.2 — достаточность интервалов",1,0)=1,"Е.1 — обусловлено размещением (пользователь)","Е.2 — эксплуатация (владелец)"))</f>
        <v/>
      </c>
      <c r="C9" s="11" t="str">
        <f>IFERROR(INDEX(Измерения!$B:$B,IFERROR(_xludf.AGGREGATE(15,6,ROW(Измерения!$H$2:$H$202)/((Измерения!$H$2:$H$202="не соответствует")+(Измерения!$H$2:$H$202="недостаточно")),7),"")),"")</f>
        <v/>
      </c>
      <c r="D9" s="11" t="str">
        <f>IFERROR(INDEX(Измерения!$A:$A,IFERROR(_xludf.AGGREGATE(15,6,ROW(Измерения!$H$2:$H$202)/((Измерения!$H$2:$H$202="не соответствует")+(Измерения!$H$2:$H$202="недостаточно")),7),"")),"")</f>
        <v/>
      </c>
      <c r="E9" s="11" t="str">
        <f>IF(IFERROR(_xludf.AGGREGATE(15,6,ROW(Измерения!$H$2:$H$202)/((Измерения!$H$2:$H$202="не соответствует")+(Измерения!$H$2:$H$202="недостаточно")),7),"")="","",IF(IF(INDEX(Измерения!$J:$J,IFERROR(_xludf.AGGREGATE(15,6,ROW(Измерения!$H$2:$H$202)/((Измерения!$H$2:$H$202="не соответствует")+(Измерения!$H$2:$H$202="недостаточно")),7),""))="Г.2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9" s="11" t="str">
        <f>IFERROR(INDEX(Измерения!$C:$C,IFERROR(_xludf.AGGREGATE(15,6,ROW(Измерения!$H$2:$H$202)/((Измерения!$H$2:$H$202="не соответствует")+(Измерения!$H$2:$H$202="недостаточно")),7),""))&amp;": "&amp;INDEX(Измерения!$E:$E,IFERROR(_xludf.AGGREGATE(15,6,ROW(Измерения!$H$2:$H$202)/((Измерения!$H$2:$H$202="не соответствует")+(Измерения!$H$2:$H$202="недостаточно")),7),""))&amp;" "&amp;INDEX(Измерения!$F:$F,IFERROR(_xludf.AGGREGATE(15,6,ROW(Измерения!$H$2:$H$202)/((Измерения!$H$2:$H$202="не соответствует")+(Измерения!$H$2:$H$202="недостаточно")),7),""))&amp;" при норме — "&amp;INDEX(Измерения!$G:$G,IFERROR(_xludf.AGGREGATE(15,6,ROW(Измерения!$H$2:$H$202)/((Измерения!$H$2:$H$202="не соответствует")+(Измерения!$H$2:$H$202="недостаточно")),7),"")),"")</f>
        <v/>
      </c>
      <c r="G9" s="11" t="str">
        <f>IF(IFERROR(_xludf.AGGREGATE(15,6,ROW(Измерения!$H$2:$H$202)/((Измерения!$H$2:$H$202="не соответствует")+(Измерения!$H$2:$H$202="недостаточно")),7),"")="","",IF(IF(INDEX(Измерения!$J:$J,IFERROR(_xludf.AGGREGATE(15,6,ROW(Измерения!$H$2:$H$202)/((Измерения!$H$2:$H$202="не соответствует")+(Измерения!$H$2:$H$202="недостаточно")),7),""))="Г.2 — достаточность интервалов",1,0)=1,"Пользователь инфраструктуры","Владелец инфраструктуры"))</f>
        <v/>
      </c>
      <c r="H9" s="10"/>
      <c r="I9" s="10"/>
    </row>
    <row r="10">
      <c r="A10" s="11" t="str">
        <f>IF(IFERROR(_xludf.AGGREGATE(15,6,ROW(Измерения!$H$2:$H$202)/((Измерения!$H$2:$H$202="не соответствует")+(Измерения!$H$2:$H$202="недостаточно")),8),"")="","",8)</f>
        <v/>
      </c>
      <c r="B10" s="11" t="str">
        <f>IF(IFERROR(_xludf.AGGREGATE(15,6,ROW(Измерения!$H$2:$H$202)/((Измерения!$H$2:$H$202="не соответствует")+(Измерения!$H$2:$H$202="недостаточно")),8),"")="","",IF(IF(INDEX(Измерения!$J:$J,IFERROR(_xludf.AGGREGATE(15,6,ROW(Измерения!$H$2:$H$202)/((Измерения!$H$2:$H$202="не соответствует")+(Измерения!$H$2:$H$202="недостаточно")),8),""))="Г.2 — достаточность интервалов",1,0)=1,"Е.1 — обусловлено размещением (пользователь)","Е.2 — эксплуатация (владелец)"))</f>
        <v/>
      </c>
      <c r="C10" s="11" t="str">
        <f>IFERROR(INDEX(Измерения!$B:$B,IFERROR(_xludf.AGGREGATE(15,6,ROW(Измерения!$H$2:$H$202)/((Измерения!$H$2:$H$202="не соответствует")+(Измерения!$H$2:$H$202="недостаточно")),8),"")),"")</f>
        <v/>
      </c>
      <c r="D10" s="11" t="str">
        <f>IFERROR(INDEX(Измерения!$A:$A,IFERROR(_xludf.AGGREGATE(15,6,ROW(Измерения!$H$2:$H$202)/((Измерения!$H$2:$H$202="не соответствует")+(Измерения!$H$2:$H$202="недостаточно")),8),"")),"")</f>
        <v/>
      </c>
      <c r="E10" s="11" t="str">
        <f>IF(IFERROR(_xludf.AGGREGATE(15,6,ROW(Измерения!$H$2:$H$202)/((Измерения!$H$2:$H$202="не соответствует")+(Измерения!$H$2:$H$202="недостаточно")),8),"")="","",IF(IF(INDEX(Измерения!$J:$J,IFERROR(_xludf.AGGREGATE(15,6,ROW(Измерения!$H$2:$H$202)/((Измерения!$H$2:$H$202="не соответствует")+(Измерения!$H$2:$H$202="недостаточно")),8),""))="Г.2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0" s="11" t="str">
        <f>IFERROR(INDEX(Измерения!$C:$C,IFERROR(_xludf.AGGREGATE(15,6,ROW(Измерения!$H$2:$H$202)/((Измерения!$H$2:$H$202="не соответствует")+(Измерения!$H$2:$H$202="недостаточно")),8),""))&amp;": "&amp;INDEX(Измерения!$E:$E,IFERROR(_xludf.AGGREGATE(15,6,ROW(Измерения!$H$2:$H$202)/((Измерения!$H$2:$H$202="не соответствует")+(Измерения!$H$2:$H$202="недостаточно")),8),""))&amp;" "&amp;INDEX(Измерения!$F:$F,IFERROR(_xludf.AGGREGATE(15,6,ROW(Измерения!$H$2:$H$202)/((Измерения!$H$2:$H$202="не соответствует")+(Измерения!$H$2:$H$202="недостаточно")),8),""))&amp;" при норме — "&amp;INDEX(Измерения!$G:$G,IFERROR(_xludf.AGGREGATE(15,6,ROW(Измерения!$H$2:$H$202)/((Измерения!$H$2:$H$202="не соответствует")+(Измерения!$H$2:$H$202="недостаточно")),8),"")),"")</f>
        <v/>
      </c>
      <c r="G10" s="11" t="str">
        <f>IF(IFERROR(_xludf.AGGREGATE(15,6,ROW(Измерения!$H$2:$H$202)/((Измерения!$H$2:$H$202="не соответствует")+(Измерения!$H$2:$H$202="недостаточно")),8),"")="","",IF(IF(INDEX(Измерения!$J:$J,IFERROR(_xludf.AGGREGATE(15,6,ROW(Измерения!$H$2:$H$202)/((Измерения!$H$2:$H$202="не соответствует")+(Измерения!$H$2:$H$202="недостаточно")),8),""))="Г.2 — достаточность интервалов",1,0)=1,"Пользователь инфраструктуры","Владелец инфраструктуры"))</f>
        <v/>
      </c>
      <c r="H10" s="10"/>
      <c r="I10" s="10"/>
    </row>
    <row r="11">
      <c r="A11" s="11" t="str">
        <f>IF(IFERROR(_xludf.AGGREGATE(15,6,ROW(Измерения!$H$2:$H$202)/((Измерения!$H$2:$H$202="не соответствует")+(Измерения!$H$2:$H$202="недостаточно")),9),"")="","",9)</f>
        <v/>
      </c>
      <c r="B11" s="11" t="str">
        <f>IF(IFERROR(_xludf.AGGREGATE(15,6,ROW(Измерения!$H$2:$H$202)/((Измерения!$H$2:$H$202="не соответствует")+(Измерения!$H$2:$H$202="недостаточно")),9),"")="","",IF(IF(INDEX(Измерения!$J:$J,IFERROR(_xludf.AGGREGATE(15,6,ROW(Измерения!$H$2:$H$202)/((Измерения!$H$2:$H$202="не соответствует")+(Измерения!$H$2:$H$202="недостаточно")),9),""))="Г.2 — достаточность интервалов",1,0)=1,"Е.1 — обусловлено размещением (пользователь)","Е.2 — эксплуатация (владелец)"))</f>
        <v/>
      </c>
      <c r="C11" s="11" t="str">
        <f>IFERROR(INDEX(Измерения!$B:$B,IFERROR(_xludf.AGGREGATE(15,6,ROW(Измерения!$H$2:$H$202)/((Измерения!$H$2:$H$202="не соответствует")+(Измерения!$H$2:$H$202="недостаточно")),9),"")),"")</f>
        <v/>
      </c>
      <c r="D11" s="11" t="str">
        <f>IFERROR(INDEX(Измерения!$A:$A,IFERROR(_xludf.AGGREGATE(15,6,ROW(Измерения!$H$2:$H$202)/((Измерения!$H$2:$H$202="не соответствует")+(Измерения!$H$2:$H$202="недостаточно")),9),"")),"")</f>
        <v/>
      </c>
      <c r="E11" s="11" t="str">
        <f>IF(IFERROR(_xludf.AGGREGATE(15,6,ROW(Измерения!$H$2:$H$202)/((Измерения!$H$2:$H$202="не соответствует")+(Измерения!$H$2:$H$202="недостаточно")),9),"")="","",IF(IF(INDEX(Измерения!$J:$J,IFERROR(_xludf.AGGREGATE(15,6,ROW(Измерения!$H$2:$H$202)/((Измерения!$H$2:$H$202="не соответствует")+(Измерения!$H$2:$H$202="недостаточно")),9),""))="Г.2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1" s="11" t="str">
        <f>IFERROR(INDEX(Измерения!$C:$C,IFERROR(_xludf.AGGREGATE(15,6,ROW(Измерения!$H$2:$H$202)/((Измерения!$H$2:$H$202="не соответствует")+(Измерения!$H$2:$H$202="недостаточно")),9),""))&amp;": "&amp;INDEX(Измерения!$E:$E,IFERROR(_xludf.AGGREGATE(15,6,ROW(Измерения!$H$2:$H$202)/((Измерения!$H$2:$H$202="не соответствует")+(Измерения!$H$2:$H$202="недостаточно")),9),""))&amp;" "&amp;INDEX(Измерения!$F:$F,IFERROR(_xludf.AGGREGATE(15,6,ROW(Измерения!$H$2:$H$202)/((Измерения!$H$2:$H$202="не соответствует")+(Измерения!$H$2:$H$202="недостаточно")),9),""))&amp;" при норме — "&amp;INDEX(Измерения!$G:$G,IFERROR(_xludf.AGGREGATE(15,6,ROW(Измерения!$H$2:$H$202)/((Измерения!$H$2:$H$202="не соответствует")+(Измерения!$H$2:$H$202="недостаточно")),9),"")),"")</f>
        <v/>
      </c>
      <c r="G11" s="11" t="str">
        <f>IF(IFERROR(_xludf.AGGREGATE(15,6,ROW(Измерения!$H$2:$H$202)/((Измерения!$H$2:$H$202="не соответствует")+(Измерения!$H$2:$H$202="недостаточно")),9),"")="","",IF(IF(INDEX(Измерения!$J:$J,IFERROR(_xludf.AGGREGATE(15,6,ROW(Измерения!$H$2:$H$202)/((Измерения!$H$2:$H$202="не соответствует")+(Измерения!$H$2:$H$202="недостаточно")),9),""))="Г.2 — достаточность интервалов",1,0)=1,"Пользователь инфраструктуры","Владелец инфраструктуры"))</f>
        <v/>
      </c>
      <c r="H11" s="10"/>
      <c r="I11" s="10"/>
    </row>
    <row r="12">
      <c r="A12" s="11" t="str">
        <f>IF(IFERROR(_xludf.AGGREGATE(15,6,ROW(Измерения!$H$2:$H$202)/((Измерения!$H$2:$H$202="не соответствует")+(Измерения!$H$2:$H$202="недостаточно")),10),"")="","",10)</f>
        <v/>
      </c>
      <c r="B12" s="11" t="str">
        <f>IF(IFERROR(_xludf.AGGREGATE(15,6,ROW(Измерения!$H$2:$H$202)/((Измерения!$H$2:$H$202="не соответствует")+(Измерения!$H$2:$H$202="недостаточно")),10),"")="","",IF(IF(INDEX(Измерения!$J:$J,IFERROR(_xludf.AGGREGATE(15,6,ROW(Измерения!$H$2:$H$202)/((Измерения!$H$2:$H$202="не соответствует")+(Измерения!$H$2:$H$202="недостаточно")),10),""))="Г.2 — достаточность интервалов",1,0)=1,"Е.1 — обусловлено размещением (пользователь)","Е.2 — эксплуатация (владелец)"))</f>
        <v/>
      </c>
      <c r="C12" s="11" t="str">
        <f>IFERROR(INDEX(Измерения!$B:$B,IFERROR(_xludf.AGGREGATE(15,6,ROW(Измерения!$H$2:$H$202)/((Измерения!$H$2:$H$202="не соответствует")+(Измерения!$H$2:$H$202="недостаточно")),10),"")),"")</f>
        <v/>
      </c>
      <c r="D12" s="11" t="str">
        <f>IFERROR(INDEX(Измерения!$A:$A,IFERROR(_xludf.AGGREGATE(15,6,ROW(Измерения!$H$2:$H$202)/((Измерения!$H$2:$H$202="не соответствует")+(Измерения!$H$2:$H$202="недостаточно")),10),"")),"")</f>
        <v/>
      </c>
      <c r="E12" s="11" t="str">
        <f>IF(IFERROR(_xludf.AGGREGATE(15,6,ROW(Измерения!$H$2:$H$202)/((Измерения!$H$2:$H$202="не соответствует")+(Измерения!$H$2:$H$202="недостаточно")),10),"")="","",IF(IF(INDEX(Измерения!$J:$J,IFERROR(_xludf.AGGREGATE(15,6,ROW(Измерения!$H$2:$H$202)/((Измерения!$H$2:$H$202="не соответствует")+(Измерения!$H$2:$H$202="недостаточно")),10),""))="Г.2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2" s="11" t="str">
        <f>IFERROR(INDEX(Измерения!$C:$C,IFERROR(_xludf.AGGREGATE(15,6,ROW(Измерения!$H$2:$H$202)/((Измерения!$H$2:$H$202="не соответствует")+(Измерения!$H$2:$H$202="недостаточно")),10),""))&amp;": "&amp;INDEX(Измерения!$E:$E,IFERROR(_xludf.AGGREGATE(15,6,ROW(Измерения!$H$2:$H$202)/((Измерения!$H$2:$H$202="не соответствует")+(Измерения!$H$2:$H$202="недостаточно")),10),""))&amp;" "&amp;INDEX(Измерения!$F:$F,IFERROR(_xludf.AGGREGATE(15,6,ROW(Измерения!$H$2:$H$202)/((Измерения!$H$2:$H$202="не соответствует")+(Измерения!$H$2:$H$202="недостаточно")),10),""))&amp;" при норме — "&amp;INDEX(Измерения!$G:$G,IFERROR(_xludf.AGGREGATE(15,6,ROW(Измерения!$H$2:$H$202)/((Измерения!$H$2:$H$202="не соответствует")+(Измерения!$H$2:$H$202="недостаточно")),10),"")),"")</f>
        <v/>
      </c>
      <c r="G12" s="11" t="str">
        <f>IF(IFERROR(_xludf.AGGREGATE(15,6,ROW(Измерения!$H$2:$H$202)/((Измерения!$H$2:$H$202="не соответствует")+(Измерения!$H$2:$H$202="недостаточно")),10),"")="","",IF(IF(INDEX(Измерения!$J:$J,IFERROR(_xludf.AGGREGATE(15,6,ROW(Измерения!$H$2:$H$202)/((Измерения!$H$2:$H$202="не соответствует")+(Измерения!$H$2:$H$202="недостаточно")),10),""))="Г.2 — достаточность интервалов",1,0)=1,"Пользователь инфраструктуры","Владелец инфраструктуры"))</f>
        <v/>
      </c>
      <c r="H12" s="10"/>
      <c r="I12" s="10"/>
    </row>
    <row r="13">
      <c r="A13" s="11" t="str">
        <f>IF(IFERROR(_xludf.AGGREGATE(15,6,ROW(Измерения!$H$2:$H$202)/((Измерения!$H$2:$H$202="не соответствует")+(Измерения!$H$2:$H$202="недостаточно")),11),"")="","",11)</f>
        <v/>
      </c>
      <c r="B13" s="11" t="str">
        <f>IF(IFERROR(_xludf.AGGREGATE(15,6,ROW(Измерения!$H$2:$H$202)/((Измерения!$H$2:$H$202="не соответствует")+(Измерения!$H$2:$H$202="недостаточно")),11),"")="","",IF(IF(INDEX(Измерения!$J:$J,IFERROR(_xludf.AGGREGATE(15,6,ROW(Измерения!$H$2:$H$202)/((Измерения!$H$2:$H$202="не соответствует")+(Измерения!$H$2:$H$202="недостаточно")),11),""))="Г.2 — достаточность интервалов",1,0)=1,"Е.1 — обусловлено размещением (пользователь)","Е.2 — эксплуатация (владелец)"))</f>
        <v/>
      </c>
      <c r="C13" s="11" t="str">
        <f>IFERROR(INDEX(Измерения!$B:$B,IFERROR(_xludf.AGGREGATE(15,6,ROW(Измерения!$H$2:$H$202)/((Измерения!$H$2:$H$202="не соответствует")+(Измерения!$H$2:$H$202="недостаточно")),11),"")),"")</f>
        <v/>
      </c>
      <c r="D13" s="11" t="str">
        <f>IFERROR(INDEX(Измерения!$A:$A,IFERROR(_xludf.AGGREGATE(15,6,ROW(Измерения!$H$2:$H$202)/((Измерения!$H$2:$H$202="не соответствует")+(Измерения!$H$2:$H$202="недостаточно")),11),"")),"")</f>
        <v/>
      </c>
      <c r="E13" s="11" t="str">
        <f>IF(IFERROR(_xludf.AGGREGATE(15,6,ROW(Измерения!$H$2:$H$202)/((Измерения!$H$2:$H$202="не соответствует")+(Измерения!$H$2:$H$202="недостаточно")),11),"")="","",IF(IF(INDEX(Измерения!$J:$J,IFERROR(_xludf.AGGREGATE(15,6,ROW(Измерения!$H$2:$H$202)/((Измерения!$H$2:$H$202="не соответствует")+(Измерения!$H$2:$H$202="недостаточно")),11),""))="Г.2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3" s="11" t="str">
        <f>IFERROR(INDEX(Измерения!$C:$C,IFERROR(_xludf.AGGREGATE(15,6,ROW(Измерения!$H$2:$H$202)/((Измерения!$H$2:$H$202="не соответствует")+(Измерения!$H$2:$H$202="недостаточно")),11),""))&amp;": "&amp;INDEX(Измерения!$E:$E,IFERROR(_xludf.AGGREGATE(15,6,ROW(Измерения!$H$2:$H$202)/((Измерения!$H$2:$H$202="не соответствует")+(Измерения!$H$2:$H$202="недостаточно")),11),""))&amp;" "&amp;INDEX(Измерения!$F:$F,IFERROR(_xludf.AGGREGATE(15,6,ROW(Измерения!$H$2:$H$202)/((Измерения!$H$2:$H$202="не соответствует")+(Измерения!$H$2:$H$202="недостаточно")),11),""))&amp;" при норме — "&amp;INDEX(Измерения!$G:$G,IFERROR(_xludf.AGGREGATE(15,6,ROW(Измерения!$H$2:$H$202)/((Измерения!$H$2:$H$202="не соответствует")+(Измерения!$H$2:$H$202="недостаточно")),11),"")),"")</f>
        <v/>
      </c>
      <c r="G13" s="11" t="str">
        <f>IF(IFERROR(_xludf.AGGREGATE(15,6,ROW(Измерения!$H$2:$H$202)/((Измерения!$H$2:$H$202="не соответствует")+(Измерения!$H$2:$H$202="недостаточно")),11),"")="","",IF(IF(INDEX(Измерения!$J:$J,IFERROR(_xludf.AGGREGATE(15,6,ROW(Измерения!$H$2:$H$202)/((Измерения!$H$2:$H$202="не соответствует")+(Измерения!$H$2:$H$202="недостаточно")),11),""))="Г.2 — достаточность интервалов",1,0)=1,"Пользователь инфраструктуры","Владелец инфраструктуры"))</f>
        <v/>
      </c>
      <c r="H13" s="10"/>
      <c r="I13" s="10"/>
    </row>
    <row r="14">
      <c r="A14" s="11" t="str">
        <f>IF(IFERROR(_xludf.AGGREGATE(15,6,ROW(Измерения!$H$2:$H$202)/((Измерения!$H$2:$H$202="не соответствует")+(Измерения!$H$2:$H$202="недостаточно")),12),"")="","",12)</f>
        <v/>
      </c>
      <c r="B14" s="11" t="str">
        <f>IF(IFERROR(_xludf.AGGREGATE(15,6,ROW(Измерения!$H$2:$H$202)/((Измерения!$H$2:$H$202="не соответствует")+(Измерения!$H$2:$H$202="недостаточно")),12),"")="","",IF(IF(INDEX(Измерения!$J:$J,IFERROR(_xludf.AGGREGATE(15,6,ROW(Измерения!$H$2:$H$202)/((Измерения!$H$2:$H$202="не соответствует")+(Измерения!$H$2:$H$202="недостаточно")),12),""))="Г.2 — достаточность интервалов",1,0)=1,"Е.1 — обусловлено размещением (пользователь)","Е.2 — эксплуатация (владелец)"))</f>
        <v/>
      </c>
      <c r="C14" s="11" t="str">
        <f>IFERROR(INDEX(Измерения!$B:$B,IFERROR(_xludf.AGGREGATE(15,6,ROW(Измерения!$H$2:$H$202)/((Измерения!$H$2:$H$202="не соответствует")+(Измерения!$H$2:$H$202="недостаточно")),12),"")),"")</f>
        <v/>
      </c>
      <c r="D14" s="11" t="str">
        <f>IFERROR(INDEX(Измерения!$A:$A,IFERROR(_xludf.AGGREGATE(15,6,ROW(Измерения!$H$2:$H$202)/((Измерения!$H$2:$H$202="не соответствует")+(Измерения!$H$2:$H$202="недостаточно")),12),"")),"")</f>
        <v/>
      </c>
      <c r="E14" s="11" t="str">
        <f>IF(IFERROR(_xludf.AGGREGATE(15,6,ROW(Измерения!$H$2:$H$202)/((Измерения!$H$2:$H$202="не соответствует")+(Измерения!$H$2:$H$202="недостаточно")),12),"")="","",IF(IF(INDEX(Измерения!$J:$J,IFERROR(_xludf.AGGREGATE(15,6,ROW(Измерения!$H$2:$H$202)/((Измерения!$H$2:$H$202="не соответствует")+(Измерения!$H$2:$H$202="недостаточно")),12),""))="Г.2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4" s="11" t="str">
        <f>IFERROR(INDEX(Измерения!$C:$C,IFERROR(_xludf.AGGREGATE(15,6,ROW(Измерения!$H$2:$H$202)/((Измерения!$H$2:$H$202="не соответствует")+(Измерения!$H$2:$H$202="недостаточно")),12),""))&amp;": "&amp;INDEX(Измерения!$E:$E,IFERROR(_xludf.AGGREGATE(15,6,ROW(Измерения!$H$2:$H$202)/((Измерения!$H$2:$H$202="не соответствует")+(Измерения!$H$2:$H$202="недостаточно")),12),""))&amp;" "&amp;INDEX(Измерения!$F:$F,IFERROR(_xludf.AGGREGATE(15,6,ROW(Измерения!$H$2:$H$202)/((Измерения!$H$2:$H$202="не соответствует")+(Измерения!$H$2:$H$202="недостаточно")),12),""))&amp;" при норме — "&amp;INDEX(Измерения!$G:$G,IFERROR(_xludf.AGGREGATE(15,6,ROW(Измерения!$H$2:$H$202)/((Измерения!$H$2:$H$202="не соответствует")+(Измерения!$H$2:$H$202="недостаточно")),12),"")),"")</f>
        <v/>
      </c>
      <c r="G14" s="11" t="str">
        <f>IF(IFERROR(_xludf.AGGREGATE(15,6,ROW(Измерения!$H$2:$H$202)/((Измерения!$H$2:$H$202="не соответствует")+(Измерения!$H$2:$H$202="недостаточно")),12),"")="","",IF(IF(INDEX(Измерения!$J:$J,IFERROR(_xludf.AGGREGATE(15,6,ROW(Измерения!$H$2:$H$202)/((Измерения!$H$2:$H$202="не соответствует")+(Измерения!$H$2:$H$202="недостаточно")),12),""))="Г.2 — достаточность интервалов",1,0)=1,"Пользователь инфраструктуры","Владелец инфраструктуры"))</f>
        <v/>
      </c>
      <c r="H14" s="10"/>
      <c r="I14" s="10"/>
    </row>
    <row r="15">
      <c r="A15" s="11" t="str">
        <f>IF(IFERROR(_xludf.AGGREGATE(15,6,ROW(Измерения!$H$2:$H$202)/((Измерения!$H$2:$H$202="не соответствует")+(Измерения!$H$2:$H$202="недостаточно")),13),"")="","",13)</f>
        <v/>
      </c>
      <c r="B15" s="11" t="str">
        <f>IF(IFERROR(_xludf.AGGREGATE(15,6,ROW(Измерения!$H$2:$H$202)/((Измерения!$H$2:$H$202="не соответствует")+(Измерения!$H$2:$H$202="недостаточно")),13),"")="","",IF(IF(INDEX(Измерения!$J:$J,IFERROR(_xludf.AGGREGATE(15,6,ROW(Измерения!$H$2:$H$202)/((Измерения!$H$2:$H$202="не соответствует")+(Измерения!$H$2:$H$202="недостаточно")),13),""))="Г.2 — достаточность интервалов",1,0)=1,"Е.1 — обусловлено размещением (пользователь)","Е.2 — эксплуатация (владелец)"))</f>
        <v/>
      </c>
      <c r="C15" s="11" t="str">
        <f>IFERROR(INDEX(Измерения!$B:$B,IFERROR(_xludf.AGGREGATE(15,6,ROW(Измерения!$H$2:$H$202)/((Измерения!$H$2:$H$202="не соответствует")+(Измерения!$H$2:$H$202="недостаточно")),13),"")),"")</f>
        <v/>
      </c>
      <c r="D15" s="11" t="str">
        <f>IFERROR(INDEX(Измерения!$A:$A,IFERROR(_xludf.AGGREGATE(15,6,ROW(Измерения!$H$2:$H$202)/((Измерения!$H$2:$H$202="не соответствует")+(Измерения!$H$2:$H$202="недостаточно")),13),"")),"")</f>
        <v/>
      </c>
      <c r="E15" s="11" t="str">
        <f>IF(IFERROR(_xludf.AGGREGATE(15,6,ROW(Измерения!$H$2:$H$202)/((Измерения!$H$2:$H$202="не соответствует")+(Измерения!$H$2:$H$202="недостаточно")),13),"")="","",IF(IF(INDEX(Измерения!$J:$J,IFERROR(_xludf.AGGREGATE(15,6,ROW(Измерения!$H$2:$H$202)/((Измерения!$H$2:$H$202="не соответствует")+(Измерения!$H$2:$H$202="недостаточно")),13),""))="Г.2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5" s="11" t="str">
        <f>IFERROR(INDEX(Измерения!$C:$C,IFERROR(_xludf.AGGREGATE(15,6,ROW(Измерения!$H$2:$H$202)/((Измерения!$H$2:$H$202="не соответствует")+(Измерения!$H$2:$H$202="недостаточно")),13),""))&amp;": "&amp;INDEX(Измерения!$E:$E,IFERROR(_xludf.AGGREGATE(15,6,ROW(Измерения!$H$2:$H$202)/((Измерения!$H$2:$H$202="не соответствует")+(Измерения!$H$2:$H$202="недостаточно")),13),""))&amp;" "&amp;INDEX(Измерения!$F:$F,IFERROR(_xludf.AGGREGATE(15,6,ROW(Измерения!$H$2:$H$202)/((Измерения!$H$2:$H$202="не соответствует")+(Измерения!$H$2:$H$202="недостаточно")),13),""))&amp;" при норме — "&amp;INDEX(Измерения!$G:$G,IFERROR(_xludf.AGGREGATE(15,6,ROW(Измерения!$H$2:$H$202)/((Измерения!$H$2:$H$202="не соответствует")+(Измерения!$H$2:$H$202="недостаточно")),13),"")),"")</f>
        <v/>
      </c>
      <c r="G15" s="11" t="str">
        <f>IF(IFERROR(_xludf.AGGREGATE(15,6,ROW(Измерения!$H$2:$H$202)/((Измерения!$H$2:$H$202="не соответствует")+(Измерения!$H$2:$H$202="недостаточно")),13),"")="","",IF(IF(INDEX(Измерения!$J:$J,IFERROR(_xludf.AGGREGATE(15,6,ROW(Измерения!$H$2:$H$202)/((Измерения!$H$2:$H$202="не соответствует")+(Измерения!$H$2:$H$202="недостаточно")),13),""))="Г.2 — достаточность интервалов",1,0)=1,"Пользователь инфраструктуры","Владелец инфраструктуры"))</f>
        <v/>
      </c>
      <c r="H15" s="10"/>
      <c r="I15" s="10"/>
    </row>
    <row r="16">
      <c r="A16" s="11" t="str">
        <f>IF(IFERROR(_xludf.AGGREGATE(15,6,ROW(Измерения!$H$2:$H$202)/((Измерения!$H$2:$H$202="не соответствует")+(Измерения!$H$2:$H$202="недостаточно")),14),"")="","",14)</f>
        <v/>
      </c>
      <c r="B16" s="11" t="str">
        <f>IF(IFERROR(_xludf.AGGREGATE(15,6,ROW(Измерения!$H$2:$H$202)/((Измерения!$H$2:$H$202="не соответствует")+(Измерения!$H$2:$H$202="недостаточно")),14),"")="","",IF(IF(INDEX(Измерения!$J:$J,IFERROR(_xludf.AGGREGATE(15,6,ROW(Измерения!$H$2:$H$202)/((Измерения!$H$2:$H$202="не соответствует")+(Измерения!$H$2:$H$202="недостаточно")),14),""))="Г.2 — достаточность интервалов",1,0)=1,"Е.1 — обусловлено размещением (пользователь)","Е.2 — эксплуатация (владелец)"))</f>
        <v/>
      </c>
      <c r="C16" s="11" t="str">
        <f>IFERROR(INDEX(Измерения!$B:$B,IFERROR(_xludf.AGGREGATE(15,6,ROW(Измерения!$H$2:$H$202)/((Измерения!$H$2:$H$202="не соответствует")+(Измерения!$H$2:$H$202="недостаточно")),14),"")),"")</f>
        <v/>
      </c>
      <c r="D16" s="11" t="str">
        <f>IFERROR(INDEX(Измерения!$A:$A,IFERROR(_xludf.AGGREGATE(15,6,ROW(Измерения!$H$2:$H$202)/((Измерения!$H$2:$H$202="не соответствует")+(Измерения!$H$2:$H$202="недостаточно")),14),"")),"")</f>
        <v/>
      </c>
      <c r="E16" s="11" t="str">
        <f>IF(IFERROR(_xludf.AGGREGATE(15,6,ROW(Измерения!$H$2:$H$202)/((Измерения!$H$2:$H$202="не соответствует")+(Измерения!$H$2:$H$202="недостаточно")),14),"")="","",IF(IF(INDEX(Измерения!$J:$J,IFERROR(_xludf.AGGREGATE(15,6,ROW(Измерения!$H$2:$H$202)/((Измерения!$H$2:$H$202="не соответствует")+(Измерения!$H$2:$H$202="недостаточно")),14),""))="Г.2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6" s="11" t="str">
        <f>IFERROR(INDEX(Измерения!$C:$C,IFERROR(_xludf.AGGREGATE(15,6,ROW(Измерения!$H$2:$H$202)/((Измерения!$H$2:$H$202="не соответствует")+(Измерения!$H$2:$H$202="недостаточно")),14),""))&amp;": "&amp;INDEX(Измерения!$E:$E,IFERROR(_xludf.AGGREGATE(15,6,ROW(Измерения!$H$2:$H$202)/((Измерения!$H$2:$H$202="не соответствует")+(Измерения!$H$2:$H$202="недостаточно")),14),""))&amp;" "&amp;INDEX(Измерения!$F:$F,IFERROR(_xludf.AGGREGATE(15,6,ROW(Измерения!$H$2:$H$202)/((Измерения!$H$2:$H$202="не соответствует")+(Измерения!$H$2:$H$202="недостаточно")),14),""))&amp;" при норме — "&amp;INDEX(Измерения!$G:$G,IFERROR(_xludf.AGGREGATE(15,6,ROW(Измерения!$H$2:$H$202)/((Измерения!$H$2:$H$202="не соответствует")+(Измерения!$H$2:$H$202="недостаточно")),14),"")),"")</f>
        <v/>
      </c>
      <c r="G16" s="11" t="str">
        <f>IF(IFERROR(_xludf.AGGREGATE(15,6,ROW(Измерения!$H$2:$H$202)/((Измерения!$H$2:$H$202="не соответствует")+(Измерения!$H$2:$H$202="недостаточно")),14),"")="","",IF(IF(INDEX(Измерения!$J:$J,IFERROR(_xludf.AGGREGATE(15,6,ROW(Измерения!$H$2:$H$202)/((Измерения!$H$2:$H$202="не соответствует")+(Измерения!$H$2:$H$202="недостаточно")),14),""))="Г.2 — достаточность интервалов",1,0)=1,"Пользователь инфраструктуры","Владелец инфраструктуры"))</f>
        <v/>
      </c>
      <c r="H16" s="10"/>
      <c r="I16" s="10"/>
    </row>
    <row r="17">
      <c r="A17" s="11" t="str">
        <f>IF(IFERROR(_xludf.AGGREGATE(15,6,ROW(Измерения!$H$2:$H$202)/((Измерения!$H$2:$H$202="не соответствует")+(Измерения!$H$2:$H$202="недостаточно")),15),"")="","",15)</f>
        <v/>
      </c>
      <c r="B17" s="11" t="str">
        <f>IF(IFERROR(_xludf.AGGREGATE(15,6,ROW(Измерения!$H$2:$H$202)/((Измерения!$H$2:$H$202="не соответствует")+(Измерения!$H$2:$H$202="недостаточно")),15),"")="","",IF(IF(INDEX(Измерения!$J:$J,IFERROR(_xludf.AGGREGATE(15,6,ROW(Измерения!$H$2:$H$202)/((Измерения!$H$2:$H$202="не соответствует")+(Измерения!$H$2:$H$202="недостаточно")),15),""))="Г.2 — достаточность интервалов",1,0)=1,"Е.1 — обусловлено размещением (пользователь)","Е.2 — эксплуатация (владелец)"))</f>
        <v/>
      </c>
      <c r="C17" s="11" t="str">
        <f>IFERROR(INDEX(Измерения!$B:$B,IFERROR(_xludf.AGGREGATE(15,6,ROW(Измерения!$H$2:$H$202)/((Измерения!$H$2:$H$202="не соответствует")+(Измерения!$H$2:$H$202="недостаточно")),15),"")),"")</f>
        <v/>
      </c>
      <c r="D17" s="11" t="str">
        <f>IFERROR(INDEX(Измерения!$A:$A,IFERROR(_xludf.AGGREGATE(15,6,ROW(Измерения!$H$2:$H$202)/((Измерения!$H$2:$H$202="не соответствует")+(Измерения!$H$2:$H$202="недостаточно")),15),"")),"")</f>
        <v/>
      </c>
      <c r="E17" s="11" t="str">
        <f>IF(IFERROR(_xludf.AGGREGATE(15,6,ROW(Измерения!$H$2:$H$202)/((Измерения!$H$2:$H$202="не соответствует")+(Измерения!$H$2:$H$202="недостаточно")),15),"")="","",IF(IF(INDEX(Измерения!$J:$J,IFERROR(_xludf.AGGREGATE(15,6,ROW(Измерения!$H$2:$H$202)/((Измерения!$H$2:$H$202="не соответствует")+(Измерения!$H$2:$H$202="недостаточно")),15),""))="Г.2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7" s="11" t="str">
        <f>IFERROR(INDEX(Измерения!$C:$C,IFERROR(_xludf.AGGREGATE(15,6,ROW(Измерения!$H$2:$H$202)/((Измерения!$H$2:$H$202="не соответствует")+(Измерения!$H$2:$H$202="недостаточно")),15),""))&amp;": "&amp;INDEX(Измерения!$E:$E,IFERROR(_xludf.AGGREGATE(15,6,ROW(Измерения!$H$2:$H$202)/((Измерения!$H$2:$H$202="не соответствует")+(Измерения!$H$2:$H$202="недостаточно")),15),""))&amp;" "&amp;INDEX(Измерения!$F:$F,IFERROR(_xludf.AGGREGATE(15,6,ROW(Измерения!$H$2:$H$202)/((Измерения!$H$2:$H$202="не соответствует")+(Измерения!$H$2:$H$202="недостаточно")),15),""))&amp;" при норме — "&amp;INDEX(Измерения!$G:$G,IFERROR(_xludf.AGGREGATE(15,6,ROW(Измерения!$H$2:$H$202)/((Измерения!$H$2:$H$202="не соответствует")+(Измерения!$H$2:$H$202="недостаточно")),15),"")),"")</f>
        <v/>
      </c>
      <c r="G17" s="11" t="str">
        <f>IF(IFERROR(_xludf.AGGREGATE(15,6,ROW(Измерения!$H$2:$H$202)/((Измерения!$H$2:$H$202="не соответствует")+(Измерения!$H$2:$H$202="недостаточно")),15),"")="","",IF(IF(INDEX(Измерения!$J:$J,IFERROR(_xludf.AGGREGATE(15,6,ROW(Измерения!$H$2:$H$202)/((Измерения!$H$2:$H$202="не соответствует")+(Измерения!$H$2:$H$202="недостаточно")),15),""))="Г.2 — достаточность интервалов",1,0)=1,"Пользователь инфраструктуры","Владелец инфраструктуры"))</f>
        <v/>
      </c>
      <c r="H17" s="10"/>
      <c r="I17" s="10"/>
    </row>
    <row r="18">
      <c r="A18" s="11" t="str">
        <f>IF(IFERROR(_xludf.AGGREGATE(15,6,ROW(Измерения!$H$2:$H$202)/((Измерения!$H$2:$H$202="не соответствует")+(Измерения!$H$2:$H$202="недостаточно")),16),"")="","",16)</f>
        <v/>
      </c>
      <c r="B18" s="11" t="str">
        <f>IF(IFERROR(_xludf.AGGREGATE(15,6,ROW(Измерения!$H$2:$H$202)/((Измерения!$H$2:$H$202="не соответствует")+(Измерения!$H$2:$H$202="недостаточно")),16),"")="","",IF(IF(INDEX(Измерения!$J:$J,IFERROR(_xludf.AGGREGATE(15,6,ROW(Измерения!$H$2:$H$202)/((Измерения!$H$2:$H$202="не соответствует")+(Измерения!$H$2:$H$202="недостаточно")),16),""))="Г.2 — достаточность интервалов",1,0)=1,"Е.1 — обусловлено размещением (пользователь)","Е.2 — эксплуатация (владелец)"))</f>
        <v/>
      </c>
      <c r="C18" s="11" t="str">
        <f>IFERROR(INDEX(Измерения!$B:$B,IFERROR(_xludf.AGGREGATE(15,6,ROW(Измерения!$H$2:$H$202)/((Измерения!$H$2:$H$202="не соответствует")+(Измерения!$H$2:$H$202="недостаточно")),16),"")),"")</f>
        <v/>
      </c>
      <c r="D18" s="11" t="str">
        <f>IFERROR(INDEX(Измерения!$A:$A,IFERROR(_xludf.AGGREGATE(15,6,ROW(Измерения!$H$2:$H$202)/((Измерения!$H$2:$H$202="не соответствует")+(Измерения!$H$2:$H$202="недостаточно")),16),"")),"")</f>
        <v/>
      </c>
      <c r="E18" s="11" t="str">
        <f>IF(IFERROR(_xludf.AGGREGATE(15,6,ROW(Измерения!$H$2:$H$202)/((Измерения!$H$2:$H$202="не соответствует")+(Измерения!$H$2:$H$202="недостаточно")),16),"")="","",IF(IF(INDEX(Измерения!$J:$J,IFERROR(_xludf.AGGREGATE(15,6,ROW(Измерения!$H$2:$H$202)/((Измерения!$H$2:$H$202="не соответствует")+(Измерения!$H$2:$H$202="недостаточно")),16),""))="Г.2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8" s="11" t="str">
        <f>IFERROR(INDEX(Измерения!$C:$C,IFERROR(_xludf.AGGREGATE(15,6,ROW(Измерения!$H$2:$H$202)/((Измерения!$H$2:$H$202="не соответствует")+(Измерения!$H$2:$H$202="недостаточно")),16),""))&amp;": "&amp;INDEX(Измерения!$E:$E,IFERROR(_xludf.AGGREGATE(15,6,ROW(Измерения!$H$2:$H$202)/((Измерения!$H$2:$H$202="не соответствует")+(Измерения!$H$2:$H$202="недостаточно")),16),""))&amp;" "&amp;INDEX(Измерения!$F:$F,IFERROR(_xludf.AGGREGATE(15,6,ROW(Измерения!$H$2:$H$202)/((Измерения!$H$2:$H$202="не соответствует")+(Измерения!$H$2:$H$202="недостаточно")),16),""))&amp;" при норме — "&amp;INDEX(Измерения!$G:$G,IFERROR(_xludf.AGGREGATE(15,6,ROW(Измерения!$H$2:$H$202)/((Измерения!$H$2:$H$202="не соответствует")+(Измерения!$H$2:$H$202="недостаточно")),16),"")),"")</f>
        <v/>
      </c>
      <c r="G18" s="11" t="str">
        <f>IF(IFERROR(_xludf.AGGREGATE(15,6,ROW(Измерения!$H$2:$H$202)/((Измерения!$H$2:$H$202="не соответствует")+(Измерения!$H$2:$H$202="недостаточно")),16),"")="","",IF(IF(INDEX(Измерения!$J:$J,IFERROR(_xludf.AGGREGATE(15,6,ROW(Измерения!$H$2:$H$202)/((Измерения!$H$2:$H$202="не соответствует")+(Измерения!$H$2:$H$202="недостаточно")),16),""))="Г.2 — достаточность интервалов",1,0)=1,"Пользователь инфраструктуры","Владелец инфраструктуры"))</f>
        <v/>
      </c>
      <c r="H18" s="10"/>
      <c r="I18" s="10"/>
    </row>
    <row r="19">
      <c r="A19" s="11" t="str">
        <f>IF(IFERROR(_xludf.AGGREGATE(15,6,ROW(Измерения!$H$2:$H$202)/((Измерения!$H$2:$H$202="не соответствует")+(Измерения!$H$2:$H$202="недостаточно")),17),"")="","",17)</f>
        <v/>
      </c>
      <c r="B19" s="11" t="str">
        <f>IF(IFERROR(_xludf.AGGREGATE(15,6,ROW(Измерения!$H$2:$H$202)/((Измерения!$H$2:$H$202="не соответствует")+(Измерения!$H$2:$H$202="недостаточно")),17),"")="","",IF(IF(INDEX(Измерения!$J:$J,IFERROR(_xludf.AGGREGATE(15,6,ROW(Измерения!$H$2:$H$202)/((Измерения!$H$2:$H$202="не соответствует")+(Измерения!$H$2:$H$202="недостаточно")),17),""))="Г.2 — достаточность интервалов",1,0)=1,"Е.1 — обусловлено размещением (пользователь)","Е.2 — эксплуатация (владелец)"))</f>
        <v/>
      </c>
      <c r="C19" s="11" t="str">
        <f>IFERROR(INDEX(Измерения!$B:$B,IFERROR(_xludf.AGGREGATE(15,6,ROW(Измерения!$H$2:$H$202)/((Измерения!$H$2:$H$202="не соответствует")+(Измерения!$H$2:$H$202="недостаточно")),17),"")),"")</f>
        <v/>
      </c>
      <c r="D19" s="11" t="str">
        <f>IFERROR(INDEX(Измерения!$A:$A,IFERROR(_xludf.AGGREGATE(15,6,ROW(Измерения!$H$2:$H$202)/((Измерения!$H$2:$H$202="не соответствует")+(Измерения!$H$2:$H$202="недостаточно")),17),"")),"")</f>
        <v/>
      </c>
      <c r="E19" s="11" t="str">
        <f>IF(IFERROR(_xludf.AGGREGATE(15,6,ROW(Измерения!$H$2:$H$202)/((Измерения!$H$2:$H$202="не соответствует")+(Измерения!$H$2:$H$202="недостаточно")),17),"")="","",IF(IF(INDEX(Измерения!$J:$J,IFERROR(_xludf.AGGREGATE(15,6,ROW(Измерения!$H$2:$H$202)/((Измерения!$H$2:$H$202="не соответствует")+(Измерения!$H$2:$H$202="недостаточно")),17),""))="Г.2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9" s="11" t="str">
        <f>IFERROR(INDEX(Измерения!$C:$C,IFERROR(_xludf.AGGREGATE(15,6,ROW(Измерения!$H$2:$H$202)/((Измерения!$H$2:$H$202="не соответствует")+(Измерения!$H$2:$H$202="недостаточно")),17),""))&amp;": "&amp;INDEX(Измерения!$E:$E,IFERROR(_xludf.AGGREGATE(15,6,ROW(Измерения!$H$2:$H$202)/((Измерения!$H$2:$H$202="не соответствует")+(Измерения!$H$2:$H$202="недостаточно")),17),""))&amp;" "&amp;INDEX(Измерения!$F:$F,IFERROR(_xludf.AGGREGATE(15,6,ROW(Измерения!$H$2:$H$202)/((Измерения!$H$2:$H$202="не соответствует")+(Измерения!$H$2:$H$202="недостаточно")),17),""))&amp;" при норме — "&amp;INDEX(Измерения!$G:$G,IFERROR(_xludf.AGGREGATE(15,6,ROW(Измерения!$H$2:$H$202)/((Измерения!$H$2:$H$202="не соответствует")+(Измерения!$H$2:$H$202="недостаточно")),17),"")),"")</f>
        <v/>
      </c>
      <c r="G19" s="11" t="str">
        <f>IF(IFERROR(_xludf.AGGREGATE(15,6,ROW(Измерения!$H$2:$H$202)/((Измерения!$H$2:$H$202="не соответствует")+(Измерения!$H$2:$H$202="недостаточно")),17),"")="","",IF(IF(INDEX(Измерения!$J:$J,IFERROR(_xludf.AGGREGATE(15,6,ROW(Измерения!$H$2:$H$202)/((Измерения!$H$2:$H$202="не соответствует")+(Измерения!$H$2:$H$202="недостаточно")),17),""))="Г.2 — достаточность интервалов",1,0)=1,"Пользователь инфраструктуры","Владелец инфраструктуры"))</f>
        <v/>
      </c>
      <c r="H19" s="10"/>
      <c r="I19" s="10"/>
    </row>
    <row r="20">
      <c r="A20" s="11" t="str">
        <f>IF(IFERROR(_xludf.AGGREGATE(15,6,ROW(Измерения!$H$2:$H$202)/((Измерения!$H$2:$H$202="не соответствует")+(Измерения!$H$2:$H$202="недостаточно")),18),"")="","",18)</f>
        <v/>
      </c>
      <c r="B20" s="11" t="str">
        <f>IF(IFERROR(_xludf.AGGREGATE(15,6,ROW(Измерения!$H$2:$H$202)/((Измерения!$H$2:$H$202="не соответствует")+(Измерения!$H$2:$H$202="недостаточно")),18),"")="","",IF(IF(INDEX(Измерения!$J:$J,IFERROR(_xludf.AGGREGATE(15,6,ROW(Измерения!$H$2:$H$202)/((Измерения!$H$2:$H$202="не соответствует")+(Измерения!$H$2:$H$202="недостаточно")),18),""))="Г.2 — достаточность интервалов",1,0)=1,"Е.1 — обусловлено размещением (пользователь)","Е.2 — эксплуатация (владелец)"))</f>
        <v/>
      </c>
      <c r="C20" s="11" t="str">
        <f>IFERROR(INDEX(Измерения!$B:$B,IFERROR(_xludf.AGGREGATE(15,6,ROW(Измерения!$H$2:$H$202)/((Измерения!$H$2:$H$202="не соответствует")+(Измерения!$H$2:$H$202="недостаточно")),18),"")),"")</f>
        <v/>
      </c>
      <c r="D20" s="11" t="str">
        <f>IFERROR(INDEX(Измерения!$A:$A,IFERROR(_xludf.AGGREGATE(15,6,ROW(Измерения!$H$2:$H$202)/((Измерения!$H$2:$H$202="не соответствует")+(Измерения!$H$2:$H$202="недостаточно")),18),"")),"")</f>
        <v/>
      </c>
      <c r="E20" s="11" t="str">
        <f>IF(IFERROR(_xludf.AGGREGATE(15,6,ROW(Измерения!$H$2:$H$202)/((Измерения!$H$2:$H$202="не соответствует")+(Измерения!$H$2:$H$202="недостаточно")),18),"")="","",IF(IF(INDEX(Измерения!$J:$J,IFERROR(_xludf.AGGREGATE(15,6,ROW(Измерения!$H$2:$H$202)/((Измерения!$H$2:$H$202="не соответствует")+(Измерения!$H$2:$H$202="недостаточно")),18),""))="Г.2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0" s="11" t="str">
        <f>IFERROR(INDEX(Измерения!$C:$C,IFERROR(_xludf.AGGREGATE(15,6,ROW(Измерения!$H$2:$H$202)/((Измерения!$H$2:$H$202="не соответствует")+(Измерения!$H$2:$H$202="недостаточно")),18),""))&amp;": "&amp;INDEX(Измерения!$E:$E,IFERROR(_xludf.AGGREGATE(15,6,ROW(Измерения!$H$2:$H$202)/((Измерения!$H$2:$H$202="не соответствует")+(Измерения!$H$2:$H$202="недостаточно")),18),""))&amp;" "&amp;INDEX(Измерения!$F:$F,IFERROR(_xludf.AGGREGATE(15,6,ROW(Измерения!$H$2:$H$202)/((Измерения!$H$2:$H$202="не соответствует")+(Измерения!$H$2:$H$202="недостаточно")),18),""))&amp;" при норме — "&amp;INDEX(Измерения!$G:$G,IFERROR(_xludf.AGGREGATE(15,6,ROW(Измерения!$H$2:$H$202)/((Измерения!$H$2:$H$202="не соответствует")+(Измерения!$H$2:$H$202="недостаточно")),18),"")),"")</f>
        <v/>
      </c>
      <c r="G20" s="11" t="str">
        <f>IF(IFERROR(_xludf.AGGREGATE(15,6,ROW(Измерения!$H$2:$H$202)/((Измерения!$H$2:$H$202="не соответствует")+(Измерения!$H$2:$H$202="недостаточно")),18),"")="","",IF(IF(INDEX(Измерения!$J:$J,IFERROR(_xludf.AGGREGATE(15,6,ROW(Измерения!$H$2:$H$202)/((Измерения!$H$2:$H$202="не соответствует")+(Измерения!$H$2:$H$202="недостаточно")),18),""))="Г.2 — достаточность интервалов",1,0)=1,"Пользователь инфраструктуры","Владелец инфраструктуры"))</f>
        <v/>
      </c>
      <c r="H20" s="10"/>
      <c r="I20" s="10"/>
    </row>
    <row r="21">
      <c r="A21" s="11" t="str">
        <f>IF(IFERROR(_xludf.AGGREGATE(15,6,ROW(Измерения!$H$2:$H$202)/((Измерения!$H$2:$H$202="не соответствует")+(Измерения!$H$2:$H$202="недостаточно")),19),"")="","",19)</f>
        <v/>
      </c>
      <c r="B21" s="11" t="str">
        <f>IF(IFERROR(_xludf.AGGREGATE(15,6,ROW(Измерения!$H$2:$H$202)/((Измерения!$H$2:$H$202="не соответствует")+(Измерения!$H$2:$H$202="недостаточно")),19),"")="","",IF(IF(INDEX(Измерения!$J:$J,IFERROR(_xludf.AGGREGATE(15,6,ROW(Измерения!$H$2:$H$202)/((Измерения!$H$2:$H$202="не соответствует")+(Измерения!$H$2:$H$202="недостаточно")),19),""))="Г.2 — достаточность интервалов",1,0)=1,"Е.1 — обусловлено размещением (пользователь)","Е.2 — эксплуатация (владелец)"))</f>
        <v/>
      </c>
      <c r="C21" s="11" t="str">
        <f>IFERROR(INDEX(Измерения!$B:$B,IFERROR(_xludf.AGGREGATE(15,6,ROW(Измерения!$H$2:$H$202)/((Измерения!$H$2:$H$202="не соответствует")+(Измерения!$H$2:$H$202="недостаточно")),19),"")),"")</f>
        <v/>
      </c>
      <c r="D21" s="11" t="str">
        <f>IFERROR(INDEX(Измерения!$A:$A,IFERROR(_xludf.AGGREGATE(15,6,ROW(Измерения!$H$2:$H$202)/((Измерения!$H$2:$H$202="не соответствует")+(Измерения!$H$2:$H$202="недостаточно")),19),"")),"")</f>
        <v/>
      </c>
      <c r="E21" s="11" t="str">
        <f>IF(IFERROR(_xludf.AGGREGATE(15,6,ROW(Измерения!$H$2:$H$202)/((Измерения!$H$2:$H$202="не соответствует")+(Измерения!$H$2:$H$202="недостаточно")),19),"")="","",IF(IF(INDEX(Измерения!$J:$J,IFERROR(_xludf.AGGREGATE(15,6,ROW(Измерения!$H$2:$H$202)/((Измерения!$H$2:$H$202="не соответствует")+(Измерения!$H$2:$H$202="недостаточно")),19),""))="Г.2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1" s="11" t="str">
        <f>IFERROR(INDEX(Измерения!$C:$C,IFERROR(_xludf.AGGREGATE(15,6,ROW(Измерения!$H$2:$H$202)/((Измерения!$H$2:$H$202="не соответствует")+(Измерения!$H$2:$H$202="недостаточно")),19),""))&amp;": "&amp;INDEX(Измерения!$E:$E,IFERROR(_xludf.AGGREGATE(15,6,ROW(Измерения!$H$2:$H$202)/((Измерения!$H$2:$H$202="не соответствует")+(Измерения!$H$2:$H$202="недостаточно")),19),""))&amp;" "&amp;INDEX(Измерения!$F:$F,IFERROR(_xludf.AGGREGATE(15,6,ROW(Измерения!$H$2:$H$202)/((Измерения!$H$2:$H$202="не соответствует")+(Измерения!$H$2:$H$202="недостаточно")),19),""))&amp;" при норме — "&amp;INDEX(Измерения!$G:$G,IFERROR(_xludf.AGGREGATE(15,6,ROW(Измерения!$H$2:$H$202)/((Измерения!$H$2:$H$202="не соответствует")+(Измерения!$H$2:$H$202="недостаточно")),19),"")),"")</f>
        <v/>
      </c>
      <c r="G21" s="11" t="str">
        <f>IF(IFERROR(_xludf.AGGREGATE(15,6,ROW(Измерения!$H$2:$H$202)/((Измерения!$H$2:$H$202="не соответствует")+(Измерения!$H$2:$H$202="недостаточно")),19),"")="","",IF(IF(INDEX(Измерения!$J:$J,IFERROR(_xludf.AGGREGATE(15,6,ROW(Измерения!$H$2:$H$202)/((Измерения!$H$2:$H$202="не соответствует")+(Измерения!$H$2:$H$202="недостаточно")),19),""))="Г.2 — достаточность интервалов",1,0)=1,"Пользователь инфраструктуры","Владелец инфраструктуры"))</f>
        <v/>
      </c>
      <c r="H21" s="10"/>
      <c r="I21" s="10"/>
    </row>
    <row r="22">
      <c r="A22" s="11" t="str">
        <f>IF(IFERROR(_xludf.AGGREGATE(15,6,ROW(Измерения!$H$2:$H$202)/((Измерения!$H$2:$H$202="не соответствует")+(Измерения!$H$2:$H$202="недостаточно")),20),"")="","",20)</f>
        <v/>
      </c>
      <c r="B22" s="11" t="str">
        <f>IF(IFERROR(_xludf.AGGREGATE(15,6,ROW(Измерения!$H$2:$H$202)/((Измерения!$H$2:$H$202="не соответствует")+(Измерения!$H$2:$H$202="недостаточно")),20),"")="","",IF(IF(INDEX(Измерения!$J:$J,IFERROR(_xludf.AGGREGATE(15,6,ROW(Измерения!$H$2:$H$202)/((Измерения!$H$2:$H$202="не соответствует")+(Измерения!$H$2:$H$202="недостаточно")),20),""))="Г.2 — достаточность интервалов",1,0)=1,"Е.1 — обусловлено размещением (пользователь)","Е.2 — эксплуатация (владелец)"))</f>
        <v/>
      </c>
      <c r="C22" s="11" t="str">
        <f>IFERROR(INDEX(Измерения!$B:$B,IFERROR(_xludf.AGGREGATE(15,6,ROW(Измерения!$H$2:$H$202)/((Измерения!$H$2:$H$202="не соответствует")+(Измерения!$H$2:$H$202="недостаточно")),20),"")),"")</f>
        <v/>
      </c>
      <c r="D22" s="11" t="str">
        <f>IFERROR(INDEX(Измерения!$A:$A,IFERROR(_xludf.AGGREGATE(15,6,ROW(Измерения!$H$2:$H$202)/((Измерения!$H$2:$H$202="не соответствует")+(Измерения!$H$2:$H$202="недостаточно")),20),"")),"")</f>
        <v/>
      </c>
      <c r="E22" s="11" t="str">
        <f>IF(IFERROR(_xludf.AGGREGATE(15,6,ROW(Измерения!$H$2:$H$202)/((Измерения!$H$2:$H$202="не соответствует")+(Измерения!$H$2:$H$202="недостаточно")),20),"")="","",IF(IF(INDEX(Измерения!$J:$J,IFERROR(_xludf.AGGREGATE(15,6,ROW(Измерения!$H$2:$H$202)/((Измерения!$H$2:$H$202="не соответствует")+(Измерения!$H$2:$H$202="недостаточно")),20),""))="Г.2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2" s="11" t="str">
        <f>IFERROR(INDEX(Измерения!$C:$C,IFERROR(_xludf.AGGREGATE(15,6,ROW(Измерения!$H$2:$H$202)/((Измерения!$H$2:$H$202="не соответствует")+(Измерения!$H$2:$H$202="недостаточно")),20),""))&amp;": "&amp;INDEX(Измерения!$E:$E,IFERROR(_xludf.AGGREGATE(15,6,ROW(Измерения!$H$2:$H$202)/((Измерения!$H$2:$H$202="не соответствует")+(Измерения!$H$2:$H$202="недостаточно")),20),""))&amp;" "&amp;INDEX(Измерения!$F:$F,IFERROR(_xludf.AGGREGATE(15,6,ROW(Измерения!$H$2:$H$202)/((Измерения!$H$2:$H$202="не соответствует")+(Измерения!$H$2:$H$202="недостаточно")),20),""))&amp;" при норме — "&amp;INDEX(Измерения!$G:$G,IFERROR(_xludf.AGGREGATE(15,6,ROW(Измерения!$H$2:$H$202)/((Измерения!$H$2:$H$202="не соответствует")+(Измерения!$H$2:$H$202="недостаточно")),20),"")),"")</f>
        <v/>
      </c>
      <c r="G22" s="11" t="str">
        <f>IF(IFERROR(_xludf.AGGREGATE(15,6,ROW(Измерения!$H$2:$H$202)/((Измерения!$H$2:$H$202="не соответствует")+(Измерения!$H$2:$H$202="недостаточно")),20),"")="","",IF(IF(INDEX(Измерения!$J:$J,IFERROR(_xludf.AGGREGATE(15,6,ROW(Измерения!$H$2:$H$202)/((Измерения!$H$2:$H$202="не соответствует")+(Измерения!$H$2:$H$202="недостаточно")),20),""))="Г.2 — достаточность интервалов",1,0)=1,"Пользователь инфраструктуры","Владелец инфраструктуры"))</f>
        <v/>
      </c>
      <c r="H22" s="10"/>
      <c r="I22" s="10"/>
    </row>
    <row r="23">
      <c r="A23" s="11" t="str">
        <f>IF(IFERROR(_xludf.AGGREGATE(15,6,ROW(Измерения!$H$2:$H$202)/((Измерения!$H$2:$H$202="не соответствует")+(Измерения!$H$2:$H$202="недостаточно")),21),"")="","",21)</f>
        <v/>
      </c>
      <c r="B23" s="11" t="str">
        <f>IF(IFERROR(_xludf.AGGREGATE(15,6,ROW(Измерения!$H$2:$H$202)/((Измерения!$H$2:$H$202="не соответствует")+(Измерения!$H$2:$H$202="недостаточно")),21),"")="","",IF(IF(INDEX(Измерения!$J:$J,IFERROR(_xludf.AGGREGATE(15,6,ROW(Измерения!$H$2:$H$202)/((Измерения!$H$2:$H$202="не соответствует")+(Измерения!$H$2:$H$202="недостаточно")),21),""))="Г.2 — достаточность интервалов",1,0)=1,"Е.1 — обусловлено размещением (пользователь)","Е.2 — эксплуатация (владелец)"))</f>
        <v/>
      </c>
      <c r="C23" s="11" t="str">
        <f>IFERROR(INDEX(Измерения!$B:$B,IFERROR(_xludf.AGGREGATE(15,6,ROW(Измерения!$H$2:$H$202)/((Измерения!$H$2:$H$202="не соответствует")+(Измерения!$H$2:$H$202="недостаточно")),21),"")),"")</f>
        <v/>
      </c>
      <c r="D23" s="11" t="str">
        <f>IFERROR(INDEX(Измерения!$A:$A,IFERROR(_xludf.AGGREGATE(15,6,ROW(Измерения!$H$2:$H$202)/((Измерения!$H$2:$H$202="не соответствует")+(Измерения!$H$2:$H$202="недостаточно")),21),"")),"")</f>
        <v/>
      </c>
      <c r="E23" s="11" t="str">
        <f>IF(IFERROR(_xludf.AGGREGATE(15,6,ROW(Измерения!$H$2:$H$202)/((Измерения!$H$2:$H$202="не соответствует")+(Измерения!$H$2:$H$202="недостаточно")),21),"")="","",IF(IF(INDEX(Измерения!$J:$J,IFERROR(_xludf.AGGREGATE(15,6,ROW(Измерения!$H$2:$H$202)/((Измерения!$H$2:$H$202="не соответствует")+(Измерения!$H$2:$H$202="недостаточно")),21),""))="Г.2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3" s="11" t="str">
        <f>IFERROR(INDEX(Измерения!$C:$C,IFERROR(_xludf.AGGREGATE(15,6,ROW(Измерения!$H$2:$H$202)/((Измерения!$H$2:$H$202="не соответствует")+(Измерения!$H$2:$H$202="недостаточно")),21),""))&amp;": "&amp;INDEX(Измерения!$E:$E,IFERROR(_xludf.AGGREGATE(15,6,ROW(Измерения!$H$2:$H$202)/((Измерения!$H$2:$H$202="не соответствует")+(Измерения!$H$2:$H$202="недостаточно")),21),""))&amp;" "&amp;INDEX(Измерения!$F:$F,IFERROR(_xludf.AGGREGATE(15,6,ROW(Измерения!$H$2:$H$202)/((Измерения!$H$2:$H$202="не соответствует")+(Измерения!$H$2:$H$202="недостаточно")),21),""))&amp;" при норме — "&amp;INDEX(Измерения!$G:$G,IFERROR(_xludf.AGGREGATE(15,6,ROW(Измерения!$H$2:$H$202)/((Измерения!$H$2:$H$202="не соответствует")+(Измерения!$H$2:$H$202="недостаточно")),21),"")),"")</f>
        <v/>
      </c>
      <c r="G23" s="11" t="str">
        <f>IF(IFERROR(_xludf.AGGREGATE(15,6,ROW(Измерения!$H$2:$H$202)/((Измерения!$H$2:$H$202="не соответствует")+(Измерения!$H$2:$H$202="недостаточно")),21),"")="","",IF(IF(INDEX(Измерения!$J:$J,IFERROR(_xludf.AGGREGATE(15,6,ROW(Измерения!$H$2:$H$202)/((Измерения!$H$2:$H$202="не соответствует")+(Измерения!$H$2:$H$202="недостаточно")),21),""))="Г.2 — достаточность интервалов",1,0)=1,"Пользователь инфраструктуры","Владелец инфраструктуры"))</f>
        <v/>
      </c>
      <c r="H23" s="10"/>
      <c r="I23" s="10"/>
    </row>
    <row r="24">
      <c r="A24" s="11" t="str">
        <f>IF(IFERROR(_xludf.AGGREGATE(15,6,ROW(Измерения!$H$2:$H$202)/((Измерения!$H$2:$H$202="не соответствует")+(Измерения!$H$2:$H$202="недостаточно")),22),"")="","",22)</f>
        <v/>
      </c>
      <c r="B24" s="11" t="str">
        <f>IF(IFERROR(_xludf.AGGREGATE(15,6,ROW(Измерения!$H$2:$H$202)/((Измерения!$H$2:$H$202="не соответствует")+(Измерения!$H$2:$H$202="недостаточно")),22),"")="","",IF(IF(INDEX(Измерения!$J:$J,IFERROR(_xludf.AGGREGATE(15,6,ROW(Измерения!$H$2:$H$202)/((Измерения!$H$2:$H$202="не соответствует")+(Измерения!$H$2:$H$202="недостаточно")),22),""))="Г.2 — достаточность интервалов",1,0)=1,"Е.1 — обусловлено размещением (пользователь)","Е.2 — эксплуатация (владелец)"))</f>
        <v/>
      </c>
      <c r="C24" s="11" t="str">
        <f>IFERROR(INDEX(Измерения!$B:$B,IFERROR(_xludf.AGGREGATE(15,6,ROW(Измерения!$H$2:$H$202)/((Измерения!$H$2:$H$202="не соответствует")+(Измерения!$H$2:$H$202="недостаточно")),22),"")),"")</f>
        <v/>
      </c>
      <c r="D24" s="11" t="str">
        <f>IFERROR(INDEX(Измерения!$A:$A,IFERROR(_xludf.AGGREGATE(15,6,ROW(Измерения!$H$2:$H$202)/((Измерения!$H$2:$H$202="не соответствует")+(Измерения!$H$2:$H$202="недостаточно")),22),"")),"")</f>
        <v/>
      </c>
      <c r="E24" s="11" t="str">
        <f>IF(IFERROR(_xludf.AGGREGATE(15,6,ROW(Измерения!$H$2:$H$202)/((Измерения!$H$2:$H$202="не соответствует")+(Измерения!$H$2:$H$202="недостаточно")),22),"")="","",IF(IF(INDEX(Измерения!$J:$J,IFERROR(_xludf.AGGREGATE(15,6,ROW(Измерения!$H$2:$H$202)/((Измерения!$H$2:$H$202="не соответствует")+(Измерения!$H$2:$H$202="недостаточно")),22),""))="Г.2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4" s="11" t="str">
        <f>IFERROR(INDEX(Измерения!$C:$C,IFERROR(_xludf.AGGREGATE(15,6,ROW(Измерения!$H$2:$H$202)/((Измерения!$H$2:$H$202="не соответствует")+(Измерения!$H$2:$H$202="недостаточно")),22),""))&amp;": "&amp;INDEX(Измерения!$E:$E,IFERROR(_xludf.AGGREGATE(15,6,ROW(Измерения!$H$2:$H$202)/((Измерения!$H$2:$H$202="не соответствует")+(Измерения!$H$2:$H$202="недостаточно")),22),""))&amp;" "&amp;INDEX(Измерения!$F:$F,IFERROR(_xludf.AGGREGATE(15,6,ROW(Измерения!$H$2:$H$202)/((Измерения!$H$2:$H$202="не соответствует")+(Измерения!$H$2:$H$202="недостаточно")),22),""))&amp;" при норме — "&amp;INDEX(Измерения!$G:$G,IFERROR(_xludf.AGGREGATE(15,6,ROW(Измерения!$H$2:$H$202)/((Измерения!$H$2:$H$202="не соответствует")+(Измерения!$H$2:$H$202="недостаточно")),22),"")),"")</f>
        <v/>
      </c>
      <c r="G24" s="11" t="str">
        <f>IF(IFERROR(_xludf.AGGREGATE(15,6,ROW(Измерения!$H$2:$H$202)/((Измерения!$H$2:$H$202="не соответствует")+(Измерения!$H$2:$H$202="недостаточно")),22),"")="","",IF(IF(INDEX(Измерения!$J:$J,IFERROR(_xludf.AGGREGATE(15,6,ROW(Измерения!$H$2:$H$202)/((Измерения!$H$2:$H$202="не соответствует")+(Измерения!$H$2:$H$202="недостаточно")),22),""))="Г.2 — достаточность интервалов",1,0)=1,"Пользователь инфраструктуры","Владелец инфраструктуры"))</f>
        <v/>
      </c>
      <c r="H24" s="10"/>
      <c r="I24" s="10"/>
    </row>
    <row r="25">
      <c r="A25" s="11" t="str">
        <f>IF(IFERROR(_xludf.AGGREGATE(15,6,ROW(Измерения!$H$2:$H$202)/((Измерения!$H$2:$H$202="не соответствует")+(Измерения!$H$2:$H$202="недостаточно")),23),"")="","",23)</f>
        <v/>
      </c>
      <c r="B25" s="11" t="str">
        <f>IF(IFERROR(_xludf.AGGREGATE(15,6,ROW(Измерения!$H$2:$H$202)/((Измерения!$H$2:$H$202="не соответствует")+(Измерения!$H$2:$H$202="недостаточно")),23),"")="","",IF(IF(INDEX(Измерения!$J:$J,IFERROR(_xludf.AGGREGATE(15,6,ROW(Измерения!$H$2:$H$202)/((Измерения!$H$2:$H$202="не соответствует")+(Измерения!$H$2:$H$202="недостаточно")),23),""))="Г.2 — достаточность интервалов",1,0)=1,"Е.1 — обусловлено размещением (пользователь)","Е.2 — эксплуатация (владелец)"))</f>
        <v/>
      </c>
      <c r="C25" s="11" t="str">
        <f>IFERROR(INDEX(Измерения!$B:$B,IFERROR(_xludf.AGGREGATE(15,6,ROW(Измерения!$H$2:$H$202)/((Измерения!$H$2:$H$202="не соответствует")+(Измерения!$H$2:$H$202="недостаточно")),23),"")),"")</f>
        <v/>
      </c>
      <c r="D25" s="11" t="str">
        <f>IFERROR(INDEX(Измерения!$A:$A,IFERROR(_xludf.AGGREGATE(15,6,ROW(Измерения!$H$2:$H$202)/((Измерения!$H$2:$H$202="не соответствует")+(Измерения!$H$2:$H$202="недостаточно")),23),"")),"")</f>
        <v/>
      </c>
      <c r="E25" s="11" t="str">
        <f>IF(IFERROR(_xludf.AGGREGATE(15,6,ROW(Измерения!$H$2:$H$202)/((Измерения!$H$2:$H$202="не соответствует")+(Измерения!$H$2:$H$202="недостаточно")),23),"")="","",IF(IF(INDEX(Измерения!$J:$J,IFERROR(_xludf.AGGREGATE(15,6,ROW(Измерения!$H$2:$H$202)/((Измерения!$H$2:$H$202="не соответствует")+(Измерения!$H$2:$H$202="недостаточно")),23),""))="Г.2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5" s="11" t="str">
        <f>IFERROR(INDEX(Измерения!$C:$C,IFERROR(_xludf.AGGREGATE(15,6,ROW(Измерения!$H$2:$H$202)/((Измерения!$H$2:$H$202="не соответствует")+(Измерения!$H$2:$H$202="недостаточно")),23),""))&amp;": "&amp;INDEX(Измерения!$E:$E,IFERROR(_xludf.AGGREGATE(15,6,ROW(Измерения!$H$2:$H$202)/((Измерения!$H$2:$H$202="не соответствует")+(Измерения!$H$2:$H$202="недостаточно")),23),""))&amp;" "&amp;INDEX(Измерения!$F:$F,IFERROR(_xludf.AGGREGATE(15,6,ROW(Измерения!$H$2:$H$202)/((Измерения!$H$2:$H$202="не соответствует")+(Измерения!$H$2:$H$202="недостаточно")),23),""))&amp;" при норме — "&amp;INDEX(Измерения!$G:$G,IFERROR(_xludf.AGGREGATE(15,6,ROW(Измерения!$H$2:$H$202)/((Измерения!$H$2:$H$202="не соответствует")+(Измерения!$H$2:$H$202="недостаточно")),23),"")),"")</f>
        <v/>
      </c>
      <c r="G25" s="11" t="str">
        <f>IF(IFERROR(_xludf.AGGREGATE(15,6,ROW(Измерения!$H$2:$H$202)/((Измерения!$H$2:$H$202="не соответствует")+(Измерения!$H$2:$H$202="недостаточно")),23),"")="","",IF(IF(INDEX(Измерения!$J:$J,IFERROR(_xludf.AGGREGATE(15,6,ROW(Измерения!$H$2:$H$202)/((Измерения!$H$2:$H$202="не соответствует")+(Измерения!$H$2:$H$202="недостаточно")),23),""))="Г.2 — достаточность интервалов",1,0)=1,"Пользователь инфраструктуры","Владелец инфраструктуры"))</f>
        <v/>
      </c>
      <c r="H25" s="10"/>
      <c r="I25" s="10"/>
    </row>
    <row r="26">
      <c r="A26" s="11" t="str">
        <f>IF(IFERROR(_xludf.AGGREGATE(15,6,ROW(Измерения!$H$2:$H$202)/((Измерения!$H$2:$H$202="не соответствует")+(Измерения!$H$2:$H$202="недостаточно")),24),"")="","",24)</f>
        <v/>
      </c>
      <c r="B26" s="11" t="str">
        <f>IF(IFERROR(_xludf.AGGREGATE(15,6,ROW(Измерения!$H$2:$H$202)/((Измерения!$H$2:$H$202="не соответствует")+(Измерения!$H$2:$H$202="недостаточно")),24),"")="","",IF(IF(INDEX(Измерения!$J:$J,IFERROR(_xludf.AGGREGATE(15,6,ROW(Измерения!$H$2:$H$202)/((Измерения!$H$2:$H$202="не соответствует")+(Измерения!$H$2:$H$202="недостаточно")),24),""))="Г.2 — достаточность интервалов",1,0)=1,"Е.1 — обусловлено размещением (пользователь)","Е.2 — эксплуатация (владелец)"))</f>
        <v/>
      </c>
      <c r="C26" s="11" t="str">
        <f>IFERROR(INDEX(Измерения!$B:$B,IFERROR(_xludf.AGGREGATE(15,6,ROW(Измерения!$H$2:$H$202)/((Измерения!$H$2:$H$202="не соответствует")+(Измерения!$H$2:$H$202="недостаточно")),24),"")),"")</f>
        <v/>
      </c>
      <c r="D26" s="11" t="str">
        <f>IFERROR(INDEX(Измерения!$A:$A,IFERROR(_xludf.AGGREGATE(15,6,ROW(Измерения!$H$2:$H$202)/((Измерения!$H$2:$H$202="не соответствует")+(Измерения!$H$2:$H$202="недостаточно")),24),"")),"")</f>
        <v/>
      </c>
      <c r="E26" s="11" t="str">
        <f>IF(IFERROR(_xludf.AGGREGATE(15,6,ROW(Измерения!$H$2:$H$202)/((Измерения!$H$2:$H$202="не соответствует")+(Измерения!$H$2:$H$202="недостаточно")),24),"")="","",IF(IF(INDEX(Измерения!$J:$J,IFERROR(_xludf.AGGREGATE(15,6,ROW(Измерения!$H$2:$H$202)/((Измерения!$H$2:$H$202="не соответствует")+(Измерения!$H$2:$H$202="недостаточно")),24),""))="Г.2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6" s="11" t="str">
        <f>IFERROR(INDEX(Измерения!$C:$C,IFERROR(_xludf.AGGREGATE(15,6,ROW(Измерения!$H$2:$H$202)/((Измерения!$H$2:$H$202="не соответствует")+(Измерения!$H$2:$H$202="недостаточно")),24),""))&amp;": "&amp;INDEX(Измерения!$E:$E,IFERROR(_xludf.AGGREGATE(15,6,ROW(Измерения!$H$2:$H$202)/((Измерения!$H$2:$H$202="не соответствует")+(Измерения!$H$2:$H$202="недостаточно")),24),""))&amp;" "&amp;INDEX(Измерения!$F:$F,IFERROR(_xludf.AGGREGATE(15,6,ROW(Измерения!$H$2:$H$202)/((Измерения!$H$2:$H$202="не соответствует")+(Измерения!$H$2:$H$202="недостаточно")),24),""))&amp;" при норме — "&amp;INDEX(Измерения!$G:$G,IFERROR(_xludf.AGGREGATE(15,6,ROW(Измерения!$H$2:$H$202)/((Измерения!$H$2:$H$202="не соответствует")+(Измерения!$H$2:$H$202="недостаточно")),24),"")),"")</f>
        <v/>
      </c>
      <c r="G26" s="11" t="str">
        <f>IF(IFERROR(_xludf.AGGREGATE(15,6,ROW(Измерения!$H$2:$H$202)/((Измерения!$H$2:$H$202="не соответствует")+(Измерения!$H$2:$H$202="недостаточно")),24),"")="","",IF(IF(INDEX(Измерения!$J:$J,IFERROR(_xludf.AGGREGATE(15,6,ROW(Измерения!$H$2:$H$202)/((Измерения!$H$2:$H$202="не соответствует")+(Измерения!$H$2:$H$202="недостаточно")),24),""))="Г.2 — достаточность интервалов",1,0)=1,"Пользователь инфраструктуры","Владелец инфраструктуры"))</f>
        <v/>
      </c>
      <c r="H26" s="10"/>
      <c r="I26" s="10"/>
    </row>
    <row r="27">
      <c r="A27" s="11" t="str">
        <f>IF(IFERROR(_xludf.AGGREGATE(15,6,ROW(Измерения!$H$2:$H$202)/((Измерения!$H$2:$H$202="не соответствует")+(Измерения!$H$2:$H$202="недостаточно")),25),"")="","",25)</f>
        <v/>
      </c>
      <c r="B27" s="11" t="str">
        <f>IF(IFERROR(_xludf.AGGREGATE(15,6,ROW(Измерения!$H$2:$H$202)/((Измерения!$H$2:$H$202="не соответствует")+(Измерения!$H$2:$H$202="недостаточно")),25),"")="","",IF(IF(INDEX(Измерения!$J:$J,IFERROR(_xludf.AGGREGATE(15,6,ROW(Измерения!$H$2:$H$202)/((Измерения!$H$2:$H$202="не соответствует")+(Измерения!$H$2:$H$202="недостаточно")),25),""))="Г.2 — достаточность интервалов",1,0)=1,"Е.1 — обусловлено размещением (пользователь)","Е.2 — эксплуатация (владелец)"))</f>
        <v/>
      </c>
      <c r="C27" s="11" t="str">
        <f>IFERROR(INDEX(Измерения!$B:$B,IFERROR(_xludf.AGGREGATE(15,6,ROW(Измерения!$H$2:$H$202)/((Измерения!$H$2:$H$202="не соответствует")+(Измерения!$H$2:$H$202="недостаточно")),25),"")),"")</f>
        <v/>
      </c>
      <c r="D27" s="11" t="str">
        <f>IFERROR(INDEX(Измерения!$A:$A,IFERROR(_xludf.AGGREGATE(15,6,ROW(Измерения!$H$2:$H$202)/((Измерения!$H$2:$H$202="не соответствует")+(Измерения!$H$2:$H$202="недостаточно")),25),"")),"")</f>
        <v/>
      </c>
      <c r="E27" s="11" t="str">
        <f>IF(IFERROR(_xludf.AGGREGATE(15,6,ROW(Измерения!$H$2:$H$202)/((Измерения!$H$2:$H$202="не соответствует")+(Измерения!$H$2:$H$202="недостаточно")),25),"")="","",IF(IF(INDEX(Измерения!$J:$J,IFERROR(_xludf.AGGREGATE(15,6,ROW(Измерения!$H$2:$H$202)/((Измерения!$H$2:$H$202="не соответствует")+(Измерения!$H$2:$H$202="недостаточно")),25),""))="Г.2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7" s="11" t="str">
        <f>IFERROR(INDEX(Измерения!$C:$C,IFERROR(_xludf.AGGREGATE(15,6,ROW(Измерения!$H$2:$H$202)/((Измерения!$H$2:$H$202="не соответствует")+(Измерения!$H$2:$H$202="недостаточно")),25),""))&amp;": "&amp;INDEX(Измерения!$E:$E,IFERROR(_xludf.AGGREGATE(15,6,ROW(Измерения!$H$2:$H$202)/((Измерения!$H$2:$H$202="не соответствует")+(Измерения!$H$2:$H$202="недостаточно")),25),""))&amp;" "&amp;INDEX(Измерения!$F:$F,IFERROR(_xludf.AGGREGATE(15,6,ROW(Измерения!$H$2:$H$202)/((Измерения!$H$2:$H$202="не соответствует")+(Измерения!$H$2:$H$202="недостаточно")),25),""))&amp;" при норме — "&amp;INDEX(Измерения!$G:$G,IFERROR(_xludf.AGGREGATE(15,6,ROW(Измерения!$H$2:$H$202)/((Измерения!$H$2:$H$202="не соответствует")+(Измерения!$H$2:$H$202="недостаточно")),25),"")),"")</f>
        <v/>
      </c>
      <c r="G27" s="11" t="str">
        <f>IF(IFERROR(_xludf.AGGREGATE(15,6,ROW(Измерения!$H$2:$H$202)/((Измерения!$H$2:$H$202="не соответствует")+(Измерения!$H$2:$H$202="недостаточно")),25),"")="","",IF(IF(INDEX(Измерения!$J:$J,IFERROR(_xludf.AGGREGATE(15,6,ROW(Измерения!$H$2:$H$202)/((Измерения!$H$2:$H$202="не соответствует")+(Измерения!$H$2:$H$202="недостаточно")),25),""))="Г.2 — достаточность интервалов",1,0)=1,"Пользователь инфраструктуры","Владелец инфраструктуры"))</f>
        <v/>
      </c>
      <c r="H27" s="10"/>
      <c r="I27" s="10"/>
    </row>
    <row r="28">
      <c r="A28" s="11" t="str">
        <f>IF(IFERROR(_xludf.AGGREGATE(15,6,ROW(Измерения!$H$2:$H$202)/((Измерения!$H$2:$H$202="не соответствует")+(Измерения!$H$2:$H$202="недостаточно")),26),"")="","",26)</f>
        <v/>
      </c>
      <c r="B28" s="11" t="str">
        <f>IF(IFERROR(_xludf.AGGREGATE(15,6,ROW(Измерения!$H$2:$H$202)/((Измерения!$H$2:$H$202="не соответствует")+(Измерения!$H$2:$H$202="недостаточно")),26),"")="","",IF(IF(INDEX(Измерения!$J:$J,IFERROR(_xludf.AGGREGATE(15,6,ROW(Измерения!$H$2:$H$202)/((Измерения!$H$2:$H$202="не соответствует")+(Измерения!$H$2:$H$202="недостаточно")),26),""))="Г.2 — достаточность интервалов",1,0)=1,"Е.1 — обусловлено размещением (пользователь)","Е.2 — эксплуатация (владелец)"))</f>
        <v/>
      </c>
      <c r="C28" s="11" t="str">
        <f>IFERROR(INDEX(Измерения!$B:$B,IFERROR(_xludf.AGGREGATE(15,6,ROW(Измерения!$H$2:$H$202)/((Измерения!$H$2:$H$202="не соответствует")+(Измерения!$H$2:$H$202="недостаточно")),26),"")),"")</f>
        <v/>
      </c>
      <c r="D28" s="11" t="str">
        <f>IFERROR(INDEX(Измерения!$A:$A,IFERROR(_xludf.AGGREGATE(15,6,ROW(Измерения!$H$2:$H$202)/((Измерения!$H$2:$H$202="не соответствует")+(Измерения!$H$2:$H$202="недостаточно")),26),"")),"")</f>
        <v/>
      </c>
      <c r="E28" s="11" t="str">
        <f>IF(IFERROR(_xludf.AGGREGATE(15,6,ROW(Измерения!$H$2:$H$202)/((Измерения!$H$2:$H$202="не соответствует")+(Измерения!$H$2:$H$202="недостаточно")),26),"")="","",IF(IF(INDEX(Измерения!$J:$J,IFERROR(_xludf.AGGREGATE(15,6,ROW(Измерения!$H$2:$H$202)/((Измерения!$H$2:$H$202="не соответствует")+(Измерения!$H$2:$H$202="недостаточно")),26),""))="Г.2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8" s="11" t="str">
        <f>IFERROR(INDEX(Измерения!$C:$C,IFERROR(_xludf.AGGREGATE(15,6,ROW(Измерения!$H$2:$H$202)/((Измерения!$H$2:$H$202="не соответствует")+(Измерения!$H$2:$H$202="недостаточно")),26),""))&amp;": "&amp;INDEX(Измерения!$E:$E,IFERROR(_xludf.AGGREGATE(15,6,ROW(Измерения!$H$2:$H$202)/((Измерения!$H$2:$H$202="не соответствует")+(Измерения!$H$2:$H$202="недостаточно")),26),""))&amp;" "&amp;INDEX(Измерения!$F:$F,IFERROR(_xludf.AGGREGATE(15,6,ROW(Измерения!$H$2:$H$202)/((Измерения!$H$2:$H$202="не соответствует")+(Измерения!$H$2:$H$202="недостаточно")),26),""))&amp;" при норме — "&amp;INDEX(Измерения!$G:$G,IFERROR(_xludf.AGGREGATE(15,6,ROW(Измерения!$H$2:$H$202)/((Измерения!$H$2:$H$202="не соответствует")+(Измерения!$H$2:$H$202="недостаточно")),26),"")),"")</f>
        <v/>
      </c>
      <c r="G28" s="11" t="str">
        <f>IF(IFERROR(_xludf.AGGREGATE(15,6,ROW(Измерения!$H$2:$H$202)/((Измерения!$H$2:$H$202="не соответствует")+(Измерения!$H$2:$H$202="недостаточно")),26),"")="","",IF(IF(INDEX(Измерения!$J:$J,IFERROR(_xludf.AGGREGATE(15,6,ROW(Измерения!$H$2:$H$202)/((Измерения!$H$2:$H$202="не соответствует")+(Измерения!$H$2:$H$202="недостаточно")),26),""))="Г.2 — достаточность интервалов",1,0)=1,"Пользователь инфраструктуры","Владелец инфраструктуры"))</f>
        <v/>
      </c>
      <c r="H28" s="10"/>
      <c r="I28" s="10"/>
    </row>
    <row r="29">
      <c r="A29" s="11" t="str">
        <f>IF(IFERROR(_xludf.AGGREGATE(15,6,ROW(Измерения!$H$2:$H$202)/((Измерения!$H$2:$H$202="не соответствует")+(Измерения!$H$2:$H$202="недостаточно")),27),"")="","",27)</f>
        <v/>
      </c>
      <c r="B29" s="11" t="str">
        <f>IF(IFERROR(_xludf.AGGREGATE(15,6,ROW(Измерения!$H$2:$H$202)/((Измерения!$H$2:$H$202="не соответствует")+(Измерения!$H$2:$H$202="недостаточно")),27),"")="","",IF(IF(INDEX(Измерения!$J:$J,IFERROR(_xludf.AGGREGATE(15,6,ROW(Измерения!$H$2:$H$202)/((Измерения!$H$2:$H$202="не соответствует")+(Измерения!$H$2:$H$202="недостаточно")),27),""))="Г.2 — достаточность интервалов",1,0)=1,"Е.1 — обусловлено размещением (пользователь)","Е.2 — эксплуатация (владелец)"))</f>
        <v/>
      </c>
      <c r="C29" s="11" t="str">
        <f>IFERROR(INDEX(Измерения!$B:$B,IFERROR(_xludf.AGGREGATE(15,6,ROW(Измерения!$H$2:$H$202)/((Измерения!$H$2:$H$202="не соответствует")+(Измерения!$H$2:$H$202="недостаточно")),27),"")),"")</f>
        <v/>
      </c>
      <c r="D29" s="11" t="str">
        <f>IFERROR(INDEX(Измерения!$A:$A,IFERROR(_xludf.AGGREGATE(15,6,ROW(Измерения!$H$2:$H$202)/((Измерения!$H$2:$H$202="не соответствует")+(Измерения!$H$2:$H$202="недостаточно")),27),"")),"")</f>
        <v/>
      </c>
      <c r="E29" s="11" t="str">
        <f>IF(IFERROR(_xludf.AGGREGATE(15,6,ROW(Измерения!$H$2:$H$202)/((Измерения!$H$2:$H$202="не соответствует")+(Измерения!$H$2:$H$202="недостаточно")),27),"")="","",IF(IF(INDEX(Измерения!$J:$J,IFERROR(_xludf.AGGREGATE(15,6,ROW(Измерения!$H$2:$H$202)/((Измерения!$H$2:$H$202="не соответствует")+(Измерения!$H$2:$H$202="недостаточно")),27),""))="Г.2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9" s="11" t="str">
        <f>IFERROR(INDEX(Измерения!$C:$C,IFERROR(_xludf.AGGREGATE(15,6,ROW(Измерения!$H$2:$H$202)/((Измерения!$H$2:$H$202="не соответствует")+(Измерения!$H$2:$H$202="недостаточно")),27),""))&amp;": "&amp;INDEX(Измерения!$E:$E,IFERROR(_xludf.AGGREGATE(15,6,ROW(Измерения!$H$2:$H$202)/((Измерения!$H$2:$H$202="не соответствует")+(Измерения!$H$2:$H$202="недостаточно")),27),""))&amp;" "&amp;INDEX(Измерения!$F:$F,IFERROR(_xludf.AGGREGATE(15,6,ROW(Измерения!$H$2:$H$202)/((Измерения!$H$2:$H$202="не соответствует")+(Измерения!$H$2:$H$202="недостаточно")),27),""))&amp;" при норме — "&amp;INDEX(Измерения!$G:$G,IFERROR(_xludf.AGGREGATE(15,6,ROW(Измерения!$H$2:$H$202)/((Измерения!$H$2:$H$202="не соответствует")+(Измерения!$H$2:$H$202="недостаточно")),27),"")),"")</f>
        <v/>
      </c>
      <c r="G29" s="11" t="str">
        <f>IF(IFERROR(_xludf.AGGREGATE(15,6,ROW(Измерения!$H$2:$H$202)/((Измерения!$H$2:$H$202="не соответствует")+(Измерения!$H$2:$H$202="недостаточно")),27),"")="","",IF(IF(INDEX(Измерения!$J:$J,IFERROR(_xludf.AGGREGATE(15,6,ROW(Измерения!$H$2:$H$202)/((Измерения!$H$2:$H$202="не соответствует")+(Измерения!$H$2:$H$202="недостаточно")),27),""))="Г.2 — достаточность интервалов",1,0)=1,"Пользователь инфраструктуры","Владелец инфраструктуры"))</f>
        <v/>
      </c>
      <c r="H29" s="10"/>
      <c r="I29" s="10"/>
    </row>
    <row r="30">
      <c r="A30" s="11" t="str">
        <f>IF(IFERROR(_xludf.AGGREGATE(15,6,ROW(Измерения!$H$2:$H$202)/((Измерения!$H$2:$H$202="не соответствует")+(Измерения!$H$2:$H$202="недостаточно")),28),"")="","",28)</f>
        <v/>
      </c>
      <c r="B30" s="11" t="str">
        <f>IF(IFERROR(_xludf.AGGREGATE(15,6,ROW(Измерения!$H$2:$H$202)/((Измерения!$H$2:$H$202="не соответствует")+(Измерения!$H$2:$H$202="недостаточно")),28),"")="","",IF(IF(INDEX(Измерения!$J:$J,IFERROR(_xludf.AGGREGATE(15,6,ROW(Измерения!$H$2:$H$202)/((Измерения!$H$2:$H$202="не соответствует")+(Измерения!$H$2:$H$202="недостаточно")),28),""))="Г.2 — достаточность интервалов",1,0)=1,"Е.1 — обусловлено размещением (пользователь)","Е.2 — эксплуатация (владелец)"))</f>
        <v/>
      </c>
      <c r="C30" s="11" t="str">
        <f>IFERROR(INDEX(Измерения!$B:$B,IFERROR(_xludf.AGGREGATE(15,6,ROW(Измерения!$H$2:$H$202)/((Измерения!$H$2:$H$202="не соответствует")+(Измерения!$H$2:$H$202="недостаточно")),28),"")),"")</f>
        <v/>
      </c>
      <c r="D30" s="11" t="str">
        <f>IFERROR(INDEX(Измерения!$A:$A,IFERROR(_xludf.AGGREGATE(15,6,ROW(Измерения!$H$2:$H$202)/((Измерения!$H$2:$H$202="не соответствует")+(Измерения!$H$2:$H$202="недостаточно")),28),"")),"")</f>
        <v/>
      </c>
      <c r="E30" s="11" t="str">
        <f>IF(IFERROR(_xludf.AGGREGATE(15,6,ROW(Измерения!$H$2:$H$202)/((Измерения!$H$2:$H$202="не соответствует")+(Измерения!$H$2:$H$202="недостаточно")),28),"")="","",IF(IF(INDEX(Измерения!$J:$J,IFERROR(_xludf.AGGREGATE(15,6,ROW(Измерения!$H$2:$H$202)/((Измерения!$H$2:$H$202="не соответствует")+(Измерения!$H$2:$H$202="недостаточно")),28),""))="Г.2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0" s="11" t="str">
        <f>IFERROR(INDEX(Измерения!$C:$C,IFERROR(_xludf.AGGREGATE(15,6,ROW(Измерения!$H$2:$H$202)/((Измерения!$H$2:$H$202="не соответствует")+(Измерения!$H$2:$H$202="недостаточно")),28),""))&amp;": "&amp;INDEX(Измерения!$E:$E,IFERROR(_xludf.AGGREGATE(15,6,ROW(Измерения!$H$2:$H$202)/((Измерения!$H$2:$H$202="не соответствует")+(Измерения!$H$2:$H$202="недостаточно")),28),""))&amp;" "&amp;INDEX(Измерения!$F:$F,IFERROR(_xludf.AGGREGATE(15,6,ROW(Измерения!$H$2:$H$202)/((Измерения!$H$2:$H$202="не соответствует")+(Измерения!$H$2:$H$202="недостаточно")),28),""))&amp;" при норме — "&amp;INDEX(Измерения!$G:$G,IFERROR(_xludf.AGGREGATE(15,6,ROW(Измерения!$H$2:$H$202)/((Измерения!$H$2:$H$202="не соответствует")+(Измерения!$H$2:$H$202="недостаточно")),28),"")),"")</f>
        <v/>
      </c>
      <c r="G30" s="11" t="str">
        <f>IF(IFERROR(_xludf.AGGREGATE(15,6,ROW(Измерения!$H$2:$H$202)/((Измерения!$H$2:$H$202="не соответствует")+(Измерения!$H$2:$H$202="недостаточно")),28),"")="","",IF(IF(INDEX(Измерения!$J:$J,IFERROR(_xludf.AGGREGATE(15,6,ROW(Измерения!$H$2:$H$202)/((Измерения!$H$2:$H$202="не соответствует")+(Измерения!$H$2:$H$202="недостаточно")),28),""))="Г.2 — достаточность интервалов",1,0)=1,"Пользователь инфраструктуры","Владелец инфраструктуры"))</f>
        <v/>
      </c>
      <c r="H30" s="10"/>
      <c r="I30" s="10"/>
    </row>
    <row r="31">
      <c r="A31" s="11" t="str">
        <f>IF(IFERROR(_xludf.AGGREGATE(15,6,ROW(Измерения!$H$2:$H$202)/((Измерения!$H$2:$H$202="не соответствует")+(Измерения!$H$2:$H$202="недостаточно")),29),"")="","",29)</f>
        <v/>
      </c>
      <c r="B31" s="11" t="str">
        <f>IF(IFERROR(_xludf.AGGREGATE(15,6,ROW(Измерения!$H$2:$H$202)/((Измерения!$H$2:$H$202="не соответствует")+(Измерения!$H$2:$H$202="недостаточно")),29),"")="","",IF(IF(INDEX(Измерения!$J:$J,IFERROR(_xludf.AGGREGATE(15,6,ROW(Измерения!$H$2:$H$202)/((Измерения!$H$2:$H$202="не соответствует")+(Измерения!$H$2:$H$202="недостаточно")),29),""))="Г.2 — достаточность интервалов",1,0)=1,"Е.1 — обусловлено размещением (пользователь)","Е.2 — эксплуатация (владелец)"))</f>
        <v/>
      </c>
      <c r="C31" s="11" t="str">
        <f>IFERROR(INDEX(Измерения!$B:$B,IFERROR(_xludf.AGGREGATE(15,6,ROW(Измерения!$H$2:$H$202)/((Измерения!$H$2:$H$202="не соответствует")+(Измерения!$H$2:$H$202="недостаточно")),29),"")),"")</f>
        <v/>
      </c>
      <c r="D31" s="11" t="str">
        <f>IFERROR(INDEX(Измерения!$A:$A,IFERROR(_xludf.AGGREGATE(15,6,ROW(Измерения!$H$2:$H$202)/((Измерения!$H$2:$H$202="не соответствует")+(Измерения!$H$2:$H$202="недостаточно")),29),"")),"")</f>
        <v/>
      </c>
      <c r="E31" s="11" t="str">
        <f>IF(IFERROR(_xludf.AGGREGATE(15,6,ROW(Измерения!$H$2:$H$202)/((Измерения!$H$2:$H$202="не соответствует")+(Измерения!$H$2:$H$202="недостаточно")),29),"")="","",IF(IF(INDEX(Измерения!$J:$J,IFERROR(_xludf.AGGREGATE(15,6,ROW(Измерения!$H$2:$H$202)/((Измерения!$H$2:$H$202="не соответствует")+(Измерения!$H$2:$H$202="недостаточно")),29),""))="Г.2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1" s="11" t="str">
        <f>IFERROR(INDEX(Измерения!$C:$C,IFERROR(_xludf.AGGREGATE(15,6,ROW(Измерения!$H$2:$H$202)/((Измерения!$H$2:$H$202="не соответствует")+(Измерения!$H$2:$H$202="недостаточно")),29),""))&amp;": "&amp;INDEX(Измерения!$E:$E,IFERROR(_xludf.AGGREGATE(15,6,ROW(Измерения!$H$2:$H$202)/((Измерения!$H$2:$H$202="не соответствует")+(Измерения!$H$2:$H$202="недостаточно")),29),""))&amp;" "&amp;INDEX(Измерения!$F:$F,IFERROR(_xludf.AGGREGATE(15,6,ROW(Измерения!$H$2:$H$202)/((Измерения!$H$2:$H$202="не соответствует")+(Измерения!$H$2:$H$202="недостаточно")),29),""))&amp;" при норме — "&amp;INDEX(Измерения!$G:$G,IFERROR(_xludf.AGGREGATE(15,6,ROW(Измерения!$H$2:$H$202)/((Измерения!$H$2:$H$202="не соответствует")+(Измерения!$H$2:$H$202="недостаточно")),29),"")),"")</f>
        <v/>
      </c>
      <c r="G31" s="11" t="str">
        <f>IF(IFERROR(_xludf.AGGREGATE(15,6,ROW(Измерения!$H$2:$H$202)/((Измерения!$H$2:$H$202="не соответствует")+(Измерения!$H$2:$H$202="недостаточно")),29),"")="","",IF(IF(INDEX(Измерения!$J:$J,IFERROR(_xludf.AGGREGATE(15,6,ROW(Измерения!$H$2:$H$202)/((Измерения!$H$2:$H$202="не соответствует")+(Измерения!$H$2:$H$202="недостаточно")),29),""))="Г.2 — достаточность интервалов",1,0)=1,"Пользователь инфраструктуры","Владелец инфраструктуры"))</f>
        <v/>
      </c>
      <c r="H31" s="10"/>
      <c r="I31" s="10"/>
    </row>
    <row r="32">
      <c r="A32" s="11" t="str">
        <f>IF(IFERROR(_xludf.AGGREGATE(15,6,ROW(Измерения!$H$2:$H$202)/((Измерения!$H$2:$H$202="не соответствует")+(Измерения!$H$2:$H$202="недостаточно")),30),"")="","",30)</f>
        <v/>
      </c>
      <c r="B32" s="11" t="str">
        <f>IF(IFERROR(_xludf.AGGREGATE(15,6,ROW(Измерения!$H$2:$H$202)/((Измерения!$H$2:$H$202="не соответствует")+(Измерения!$H$2:$H$202="недостаточно")),30),"")="","",IF(IF(INDEX(Измерения!$J:$J,IFERROR(_xludf.AGGREGATE(15,6,ROW(Измерения!$H$2:$H$202)/((Измерения!$H$2:$H$202="не соответствует")+(Измерения!$H$2:$H$202="недостаточно")),30),""))="Г.2 — достаточность интервалов",1,0)=1,"Е.1 — обусловлено размещением (пользователь)","Е.2 — эксплуатация (владелец)"))</f>
        <v/>
      </c>
      <c r="C32" s="11" t="str">
        <f>IFERROR(INDEX(Измерения!$B:$B,IFERROR(_xludf.AGGREGATE(15,6,ROW(Измерения!$H$2:$H$202)/((Измерения!$H$2:$H$202="не соответствует")+(Измерения!$H$2:$H$202="недостаточно")),30),"")),"")</f>
        <v/>
      </c>
      <c r="D32" s="11" t="str">
        <f>IFERROR(INDEX(Измерения!$A:$A,IFERROR(_xludf.AGGREGATE(15,6,ROW(Измерения!$H$2:$H$202)/((Измерения!$H$2:$H$202="не соответствует")+(Измерения!$H$2:$H$202="недостаточно")),30),"")),"")</f>
        <v/>
      </c>
      <c r="E32" s="11" t="str">
        <f>IF(IFERROR(_xludf.AGGREGATE(15,6,ROW(Измерения!$H$2:$H$202)/((Измерения!$H$2:$H$202="не соответствует")+(Измерения!$H$2:$H$202="недостаточно")),30),"")="","",IF(IF(INDEX(Измерения!$J:$J,IFERROR(_xludf.AGGREGATE(15,6,ROW(Измерения!$H$2:$H$202)/((Измерения!$H$2:$H$202="не соответствует")+(Измерения!$H$2:$H$202="недостаточно")),30),""))="Г.2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2" s="11" t="str">
        <f>IFERROR(INDEX(Измерения!$C:$C,IFERROR(_xludf.AGGREGATE(15,6,ROW(Измерения!$H$2:$H$202)/((Измерения!$H$2:$H$202="не соответствует")+(Измерения!$H$2:$H$202="недостаточно")),30),""))&amp;": "&amp;INDEX(Измерения!$E:$E,IFERROR(_xludf.AGGREGATE(15,6,ROW(Измерения!$H$2:$H$202)/((Измерения!$H$2:$H$202="не соответствует")+(Измерения!$H$2:$H$202="недостаточно")),30),""))&amp;" "&amp;INDEX(Измерения!$F:$F,IFERROR(_xludf.AGGREGATE(15,6,ROW(Измерения!$H$2:$H$202)/((Измерения!$H$2:$H$202="не соответствует")+(Измерения!$H$2:$H$202="недостаточно")),30),""))&amp;" при норме — "&amp;INDEX(Измерения!$G:$G,IFERROR(_xludf.AGGREGATE(15,6,ROW(Измерения!$H$2:$H$202)/((Измерения!$H$2:$H$202="не соответствует")+(Измерения!$H$2:$H$202="недостаточно")),30),"")),"")</f>
        <v/>
      </c>
      <c r="G32" s="11" t="str">
        <f>IF(IFERROR(_xludf.AGGREGATE(15,6,ROW(Измерения!$H$2:$H$202)/((Измерения!$H$2:$H$202="не соответствует")+(Измерения!$H$2:$H$202="недостаточно")),30),"")="","",IF(IF(INDEX(Измерения!$J:$J,IFERROR(_xludf.AGGREGATE(15,6,ROW(Измерения!$H$2:$H$202)/((Измерения!$H$2:$H$202="не соответствует")+(Измерения!$H$2:$H$202="недостаточно")),30),""))="Г.2 — достаточность интервалов",1,0)=1,"Пользователь инфраструктуры","Владелец инфраструктуры"))</f>
        <v/>
      </c>
      <c r="H32" s="10"/>
      <c r="I32" s="10"/>
    </row>
    <row r="33">
      <c r="A33" s="11" t="str">
        <f>IF(IFERROR(_xludf.AGGREGATE(15,6,ROW(Измерения!$H$2:$H$202)/((Измерения!$H$2:$H$202="не соответствует")+(Измерения!$H$2:$H$202="недостаточно")),31),"")="","",31)</f>
        <v/>
      </c>
      <c r="B33" s="11" t="str">
        <f>IF(IFERROR(_xludf.AGGREGATE(15,6,ROW(Измерения!$H$2:$H$202)/((Измерения!$H$2:$H$202="не соответствует")+(Измерения!$H$2:$H$202="недостаточно")),31),"")="","",IF(IF(INDEX(Измерения!$J:$J,IFERROR(_xludf.AGGREGATE(15,6,ROW(Измерения!$H$2:$H$202)/((Измерения!$H$2:$H$202="не соответствует")+(Измерения!$H$2:$H$202="недостаточно")),31),""))="Г.2 — достаточность интервалов",1,0)=1,"Е.1 — обусловлено размещением (пользователь)","Е.2 — эксплуатация (владелец)"))</f>
        <v/>
      </c>
      <c r="C33" s="11" t="str">
        <f>IFERROR(INDEX(Измерения!$B:$B,IFERROR(_xludf.AGGREGATE(15,6,ROW(Измерения!$H$2:$H$202)/((Измерения!$H$2:$H$202="не соответствует")+(Измерения!$H$2:$H$202="недостаточно")),31),"")),"")</f>
        <v/>
      </c>
      <c r="D33" s="11" t="str">
        <f>IFERROR(INDEX(Измерения!$A:$A,IFERROR(_xludf.AGGREGATE(15,6,ROW(Измерения!$H$2:$H$202)/((Измерения!$H$2:$H$202="не соответствует")+(Измерения!$H$2:$H$202="недостаточно")),31),"")),"")</f>
        <v/>
      </c>
      <c r="E33" s="11" t="str">
        <f>IF(IFERROR(_xludf.AGGREGATE(15,6,ROW(Измерения!$H$2:$H$202)/((Измерения!$H$2:$H$202="не соответствует")+(Измерения!$H$2:$H$202="недостаточно")),31),"")="","",IF(IF(INDEX(Измерения!$J:$J,IFERROR(_xludf.AGGREGATE(15,6,ROW(Измерения!$H$2:$H$202)/((Измерения!$H$2:$H$202="не соответствует")+(Измерения!$H$2:$H$202="недостаточно")),31),""))="Г.2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3" s="11" t="str">
        <f>IFERROR(INDEX(Измерения!$C:$C,IFERROR(_xludf.AGGREGATE(15,6,ROW(Измерения!$H$2:$H$202)/((Измерения!$H$2:$H$202="не соответствует")+(Измерения!$H$2:$H$202="недостаточно")),31),""))&amp;": "&amp;INDEX(Измерения!$E:$E,IFERROR(_xludf.AGGREGATE(15,6,ROW(Измерения!$H$2:$H$202)/((Измерения!$H$2:$H$202="не соответствует")+(Измерения!$H$2:$H$202="недостаточно")),31),""))&amp;" "&amp;INDEX(Измерения!$F:$F,IFERROR(_xludf.AGGREGATE(15,6,ROW(Измерения!$H$2:$H$202)/((Измерения!$H$2:$H$202="не соответствует")+(Измерения!$H$2:$H$202="недостаточно")),31),""))&amp;" при норме — "&amp;INDEX(Измерения!$G:$G,IFERROR(_xludf.AGGREGATE(15,6,ROW(Измерения!$H$2:$H$202)/((Измерения!$H$2:$H$202="не соответствует")+(Измерения!$H$2:$H$202="недостаточно")),31),"")),"")</f>
        <v/>
      </c>
      <c r="G33" s="11" t="str">
        <f>IF(IFERROR(_xludf.AGGREGATE(15,6,ROW(Измерения!$H$2:$H$202)/((Измерения!$H$2:$H$202="не соответствует")+(Измерения!$H$2:$H$202="недостаточно")),31),"")="","",IF(IF(INDEX(Измерения!$J:$J,IFERROR(_xludf.AGGREGATE(15,6,ROW(Измерения!$H$2:$H$202)/((Измерения!$H$2:$H$202="не соответствует")+(Измерения!$H$2:$H$202="недостаточно")),31),""))="Г.2 — достаточность интервалов",1,0)=1,"Пользователь инфраструктуры","Владелец инфраструктуры"))</f>
        <v/>
      </c>
      <c r="H33" s="10"/>
      <c r="I33" s="10"/>
    </row>
    <row r="34">
      <c r="A34" s="11" t="str">
        <f>IF(IFERROR(_xludf.AGGREGATE(15,6,ROW(Измерения!$H$2:$H$202)/((Измерения!$H$2:$H$202="не соответствует")+(Измерения!$H$2:$H$202="недостаточно")),32),"")="","",32)</f>
        <v/>
      </c>
      <c r="B34" s="11" t="str">
        <f>IF(IFERROR(_xludf.AGGREGATE(15,6,ROW(Измерения!$H$2:$H$202)/((Измерения!$H$2:$H$202="не соответствует")+(Измерения!$H$2:$H$202="недостаточно")),32),"")="","",IF(IF(INDEX(Измерения!$J:$J,IFERROR(_xludf.AGGREGATE(15,6,ROW(Измерения!$H$2:$H$202)/((Измерения!$H$2:$H$202="не соответствует")+(Измерения!$H$2:$H$202="недостаточно")),32),""))="Г.2 — достаточность интервалов",1,0)=1,"Е.1 — обусловлено размещением (пользователь)","Е.2 — эксплуатация (владелец)"))</f>
        <v/>
      </c>
      <c r="C34" s="11" t="str">
        <f>IFERROR(INDEX(Измерения!$B:$B,IFERROR(_xludf.AGGREGATE(15,6,ROW(Измерения!$H$2:$H$202)/((Измерения!$H$2:$H$202="не соответствует")+(Измерения!$H$2:$H$202="недостаточно")),32),"")),"")</f>
        <v/>
      </c>
      <c r="D34" s="11" t="str">
        <f>IFERROR(INDEX(Измерения!$A:$A,IFERROR(_xludf.AGGREGATE(15,6,ROW(Измерения!$H$2:$H$202)/((Измерения!$H$2:$H$202="не соответствует")+(Измерения!$H$2:$H$202="недостаточно")),32),"")),"")</f>
        <v/>
      </c>
      <c r="E34" s="11" t="str">
        <f>IF(IFERROR(_xludf.AGGREGATE(15,6,ROW(Измерения!$H$2:$H$202)/((Измерения!$H$2:$H$202="не соответствует")+(Измерения!$H$2:$H$202="недостаточно")),32),"")="","",IF(IF(INDEX(Измерения!$J:$J,IFERROR(_xludf.AGGREGATE(15,6,ROW(Измерения!$H$2:$H$202)/((Измерения!$H$2:$H$202="не соответствует")+(Измерения!$H$2:$H$202="недостаточно")),32),""))="Г.2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4" s="11" t="str">
        <f>IFERROR(INDEX(Измерения!$C:$C,IFERROR(_xludf.AGGREGATE(15,6,ROW(Измерения!$H$2:$H$202)/((Измерения!$H$2:$H$202="не соответствует")+(Измерения!$H$2:$H$202="недостаточно")),32),""))&amp;": "&amp;INDEX(Измерения!$E:$E,IFERROR(_xludf.AGGREGATE(15,6,ROW(Измерения!$H$2:$H$202)/((Измерения!$H$2:$H$202="не соответствует")+(Измерения!$H$2:$H$202="недостаточно")),32),""))&amp;" "&amp;INDEX(Измерения!$F:$F,IFERROR(_xludf.AGGREGATE(15,6,ROW(Измерения!$H$2:$H$202)/((Измерения!$H$2:$H$202="не соответствует")+(Измерения!$H$2:$H$202="недостаточно")),32),""))&amp;" при норме — "&amp;INDEX(Измерения!$G:$G,IFERROR(_xludf.AGGREGATE(15,6,ROW(Измерения!$H$2:$H$202)/((Измерения!$H$2:$H$202="не соответствует")+(Измерения!$H$2:$H$202="недостаточно")),32),"")),"")</f>
        <v/>
      </c>
      <c r="G34" s="11" t="str">
        <f>IF(IFERROR(_xludf.AGGREGATE(15,6,ROW(Измерения!$H$2:$H$202)/((Измерения!$H$2:$H$202="не соответствует")+(Измерения!$H$2:$H$202="недостаточно")),32),"")="","",IF(IF(INDEX(Измерения!$J:$J,IFERROR(_xludf.AGGREGATE(15,6,ROW(Измерения!$H$2:$H$202)/((Измерения!$H$2:$H$202="не соответствует")+(Измерения!$H$2:$H$202="недостаточно")),32),""))="Г.2 — достаточность интервалов",1,0)=1,"Пользователь инфраструктуры","Владелец инфраструктуры"))</f>
        <v/>
      </c>
      <c r="H34" s="10"/>
      <c r="I34" s="10"/>
    </row>
    <row r="35">
      <c r="A35" s="11" t="str">
        <f>IF(IFERROR(_xludf.AGGREGATE(15,6,ROW(Измерения!$H$2:$H$202)/((Измерения!$H$2:$H$202="не соответствует")+(Измерения!$H$2:$H$202="недостаточно")),33),"")="","",33)</f>
        <v/>
      </c>
      <c r="B35" s="11" t="str">
        <f>IF(IFERROR(_xludf.AGGREGATE(15,6,ROW(Измерения!$H$2:$H$202)/((Измерения!$H$2:$H$202="не соответствует")+(Измерения!$H$2:$H$202="недостаточно")),33),"")="","",IF(IF(INDEX(Измерения!$J:$J,IFERROR(_xludf.AGGREGATE(15,6,ROW(Измерения!$H$2:$H$202)/((Измерения!$H$2:$H$202="не соответствует")+(Измерения!$H$2:$H$202="недостаточно")),33),""))="Г.2 — достаточность интервалов",1,0)=1,"Е.1 — обусловлено размещением (пользователь)","Е.2 — эксплуатация (владелец)"))</f>
        <v/>
      </c>
      <c r="C35" s="11" t="str">
        <f>IFERROR(INDEX(Измерения!$B:$B,IFERROR(_xludf.AGGREGATE(15,6,ROW(Измерения!$H$2:$H$202)/((Измерения!$H$2:$H$202="не соответствует")+(Измерения!$H$2:$H$202="недостаточно")),33),"")),"")</f>
        <v/>
      </c>
      <c r="D35" s="11" t="str">
        <f>IFERROR(INDEX(Измерения!$A:$A,IFERROR(_xludf.AGGREGATE(15,6,ROW(Измерения!$H$2:$H$202)/((Измерения!$H$2:$H$202="не соответствует")+(Измерения!$H$2:$H$202="недостаточно")),33),"")),"")</f>
        <v/>
      </c>
      <c r="E35" s="11" t="str">
        <f>IF(IFERROR(_xludf.AGGREGATE(15,6,ROW(Измерения!$H$2:$H$202)/((Измерения!$H$2:$H$202="не соответствует")+(Измерения!$H$2:$H$202="недостаточно")),33),"")="","",IF(IF(INDEX(Измерения!$J:$J,IFERROR(_xludf.AGGREGATE(15,6,ROW(Измерения!$H$2:$H$202)/((Измерения!$H$2:$H$202="не соответствует")+(Измерения!$H$2:$H$202="недостаточно")),33),""))="Г.2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5" s="11" t="str">
        <f>IFERROR(INDEX(Измерения!$C:$C,IFERROR(_xludf.AGGREGATE(15,6,ROW(Измерения!$H$2:$H$202)/((Измерения!$H$2:$H$202="не соответствует")+(Измерения!$H$2:$H$202="недостаточно")),33),""))&amp;": "&amp;INDEX(Измерения!$E:$E,IFERROR(_xludf.AGGREGATE(15,6,ROW(Измерения!$H$2:$H$202)/((Измерения!$H$2:$H$202="не соответствует")+(Измерения!$H$2:$H$202="недостаточно")),33),""))&amp;" "&amp;INDEX(Измерения!$F:$F,IFERROR(_xludf.AGGREGATE(15,6,ROW(Измерения!$H$2:$H$202)/((Измерения!$H$2:$H$202="не соответствует")+(Измерения!$H$2:$H$202="недостаточно")),33),""))&amp;" при норме — "&amp;INDEX(Измерения!$G:$G,IFERROR(_xludf.AGGREGATE(15,6,ROW(Измерения!$H$2:$H$202)/((Измерения!$H$2:$H$202="не соответствует")+(Измерения!$H$2:$H$202="недостаточно")),33),"")),"")</f>
        <v/>
      </c>
      <c r="G35" s="11" t="str">
        <f>IF(IFERROR(_xludf.AGGREGATE(15,6,ROW(Измерения!$H$2:$H$202)/((Измерения!$H$2:$H$202="не соответствует")+(Измерения!$H$2:$H$202="недостаточно")),33),"")="","",IF(IF(INDEX(Измерения!$J:$J,IFERROR(_xludf.AGGREGATE(15,6,ROW(Измерения!$H$2:$H$202)/((Измерения!$H$2:$H$202="не соответствует")+(Измерения!$H$2:$H$202="недостаточно")),33),""))="Г.2 — достаточность интервалов",1,0)=1,"Пользователь инфраструктуры","Владелец инфраструктуры"))</f>
        <v/>
      </c>
      <c r="H35" s="10"/>
      <c r="I35" s="10"/>
    </row>
    <row r="36">
      <c r="A36" s="11" t="str">
        <f>IF(IFERROR(_xludf.AGGREGATE(15,6,ROW(Измерения!$H$2:$H$202)/((Измерения!$H$2:$H$202="не соответствует")+(Измерения!$H$2:$H$202="недостаточно")),34),"")="","",34)</f>
        <v/>
      </c>
      <c r="B36" s="11" t="str">
        <f>IF(IFERROR(_xludf.AGGREGATE(15,6,ROW(Измерения!$H$2:$H$202)/((Измерения!$H$2:$H$202="не соответствует")+(Измерения!$H$2:$H$202="недостаточно")),34),"")="","",IF(IF(INDEX(Измерения!$J:$J,IFERROR(_xludf.AGGREGATE(15,6,ROW(Измерения!$H$2:$H$202)/((Измерения!$H$2:$H$202="не соответствует")+(Измерения!$H$2:$H$202="недостаточно")),34),""))="Г.2 — достаточность интервалов",1,0)=1,"Е.1 — обусловлено размещением (пользователь)","Е.2 — эксплуатация (владелец)"))</f>
        <v/>
      </c>
      <c r="C36" s="11" t="str">
        <f>IFERROR(INDEX(Измерения!$B:$B,IFERROR(_xludf.AGGREGATE(15,6,ROW(Измерения!$H$2:$H$202)/((Измерения!$H$2:$H$202="не соответствует")+(Измерения!$H$2:$H$202="недостаточно")),34),"")),"")</f>
        <v/>
      </c>
      <c r="D36" s="11" t="str">
        <f>IFERROR(INDEX(Измерения!$A:$A,IFERROR(_xludf.AGGREGATE(15,6,ROW(Измерения!$H$2:$H$202)/((Измерения!$H$2:$H$202="не соответствует")+(Измерения!$H$2:$H$202="недостаточно")),34),"")),"")</f>
        <v/>
      </c>
      <c r="E36" s="11" t="str">
        <f>IF(IFERROR(_xludf.AGGREGATE(15,6,ROW(Измерения!$H$2:$H$202)/((Измерения!$H$2:$H$202="не соответствует")+(Измерения!$H$2:$H$202="недостаточно")),34),"")="","",IF(IF(INDEX(Измерения!$J:$J,IFERROR(_xludf.AGGREGATE(15,6,ROW(Измерения!$H$2:$H$202)/((Измерения!$H$2:$H$202="не соответствует")+(Измерения!$H$2:$H$202="недостаточно")),34),""))="Г.2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6" s="11" t="str">
        <f>IFERROR(INDEX(Измерения!$C:$C,IFERROR(_xludf.AGGREGATE(15,6,ROW(Измерения!$H$2:$H$202)/((Измерения!$H$2:$H$202="не соответствует")+(Измерения!$H$2:$H$202="недостаточно")),34),""))&amp;": "&amp;INDEX(Измерения!$E:$E,IFERROR(_xludf.AGGREGATE(15,6,ROW(Измерения!$H$2:$H$202)/((Измерения!$H$2:$H$202="не соответствует")+(Измерения!$H$2:$H$202="недостаточно")),34),""))&amp;" "&amp;INDEX(Измерения!$F:$F,IFERROR(_xludf.AGGREGATE(15,6,ROW(Измерения!$H$2:$H$202)/((Измерения!$H$2:$H$202="не соответствует")+(Измерения!$H$2:$H$202="недостаточно")),34),""))&amp;" при норме — "&amp;INDEX(Измерения!$G:$G,IFERROR(_xludf.AGGREGATE(15,6,ROW(Измерения!$H$2:$H$202)/((Измерения!$H$2:$H$202="не соответствует")+(Измерения!$H$2:$H$202="недостаточно")),34),"")),"")</f>
        <v/>
      </c>
      <c r="G36" s="11" t="str">
        <f>IF(IFERROR(_xludf.AGGREGATE(15,6,ROW(Измерения!$H$2:$H$202)/((Измерения!$H$2:$H$202="не соответствует")+(Измерения!$H$2:$H$202="недостаточно")),34),"")="","",IF(IF(INDEX(Измерения!$J:$J,IFERROR(_xludf.AGGREGATE(15,6,ROW(Измерения!$H$2:$H$202)/((Измерения!$H$2:$H$202="не соответствует")+(Измерения!$H$2:$H$202="недостаточно")),34),""))="Г.2 — достаточность интервалов",1,0)=1,"Пользователь инфраструктуры","Владелец инфраструктуры"))</f>
        <v/>
      </c>
      <c r="H36" s="10"/>
      <c r="I36" s="10"/>
    </row>
    <row r="37">
      <c r="A37" s="11" t="str">
        <f>IF(IFERROR(_xludf.AGGREGATE(15,6,ROW(Измерения!$H$2:$H$202)/((Измерения!$H$2:$H$202="не соответствует")+(Измерения!$H$2:$H$202="недостаточно")),35),"")="","",35)</f>
        <v/>
      </c>
      <c r="B37" s="11" t="str">
        <f>IF(IFERROR(_xludf.AGGREGATE(15,6,ROW(Измерения!$H$2:$H$202)/((Измерения!$H$2:$H$202="не соответствует")+(Измерения!$H$2:$H$202="недостаточно")),35),"")="","",IF(IF(INDEX(Измерения!$J:$J,IFERROR(_xludf.AGGREGATE(15,6,ROW(Измерения!$H$2:$H$202)/((Измерения!$H$2:$H$202="не соответствует")+(Измерения!$H$2:$H$202="недостаточно")),35),""))="Г.2 — достаточность интервалов",1,0)=1,"Е.1 — обусловлено размещением (пользователь)","Е.2 — эксплуатация (владелец)"))</f>
        <v/>
      </c>
      <c r="C37" s="11" t="str">
        <f>IFERROR(INDEX(Измерения!$B:$B,IFERROR(_xludf.AGGREGATE(15,6,ROW(Измерения!$H$2:$H$202)/((Измерения!$H$2:$H$202="не соответствует")+(Измерения!$H$2:$H$202="недостаточно")),35),"")),"")</f>
        <v/>
      </c>
      <c r="D37" s="11" t="str">
        <f>IFERROR(INDEX(Измерения!$A:$A,IFERROR(_xludf.AGGREGATE(15,6,ROW(Измерения!$H$2:$H$202)/((Измерения!$H$2:$H$202="не соответствует")+(Измерения!$H$2:$H$202="недостаточно")),35),"")),"")</f>
        <v/>
      </c>
      <c r="E37" s="11" t="str">
        <f>IF(IFERROR(_xludf.AGGREGATE(15,6,ROW(Измерения!$H$2:$H$202)/((Измерения!$H$2:$H$202="не соответствует")+(Измерения!$H$2:$H$202="недостаточно")),35),"")="","",IF(IF(INDEX(Измерения!$J:$J,IFERROR(_xludf.AGGREGATE(15,6,ROW(Измерения!$H$2:$H$202)/((Измерения!$H$2:$H$202="не соответствует")+(Измерения!$H$2:$H$202="недостаточно")),35),""))="Г.2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7" s="11" t="str">
        <f>IFERROR(INDEX(Измерения!$C:$C,IFERROR(_xludf.AGGREGATE(15,6,ROW(Измерения!$H$2:$H$202)/((Измерения!$H$2:$H$202="не соответствует")+(Измерения!$H$2:$H$202="недостаточно")),35),""))&amp;": "&amp;INDEX(Измерения!$E:$E,IFERROR(_xludf.AGGREGATE(15,6,ROW(Измерения!$H$2:$H$202)/((Измерения!$H$2:$H$202="не соответствует")+(Измерения!$H$2:$H$202="недостаточно")),35),""))&amp;" "&amp;INDEX(Измерения!$F:$F,IFERROR(_xludf.AGGREGATE(15,6,ROW(Измерения!$H$2:$H$202)/((Измерения!$H$2:$H$202="не соответствует")+(Измерения!$H$2:$H$202="недостаточно")),35),""))&amp;" при норме — "&amp;INDEX(Измерения!$G:$G,IFERROR(_xludf.AGGREGATE(15,6,ROW(Измерения!$H$2:$H$202)/((Измерения!$H$2:$H$202="не соответствует")+(Измерения!$H$2:$H$202="недостаточно")),35),"")),"")</f>
        <v/>
      </c>
      <c r="G37" s="11" t="str">
        <f>IF(IFERROR(_xludf.AGGREGATE(15,6,ROW(Измерения!$H$2:$H$202)/((Измерения!$H$2:$H$202="не соответствует")+(Измерения!$H$2:$H$202="недостаточно")),35),"")="","",IF(IF(INDEX(Измерения!$J:$J,IFERROR(_xludf.AGGREGATE(15,6,ROW(Измерения!$H$2:$H$202)/((Измерения!$H$2:$H$202="не соответствует")+(Измерения!$H$2:$H$202="недостаточно")),35),""))="Г.2 — достаточность интервалов",1,0)=1,"Пользователь инфраструктуры","Владелец инфраструктуры"))</f>
        <v/>
      </c>
      <c r="H37" s="10"/>
      <c r="I37" s="10"/>
    </row>
    <row r="38">
      <c r="A38" s="11" t="str">
        <f>IF(IFERROR(_xludf.AGGREGATE(15,6,ROW(Измерения!$H$2:$H$202)/((Измерения!$H$2:$H$202="не соответствует")+(Измерения!$H$2:$H$202="недостаточно")),36),"")="","",36)</f>
        <v/>
      </c>
      <c r="B38" s="11" t="str">
        <f>IF(IFERROR(_xludf.AGGREGATE(15,6,ROW(Измерения!$H$2:$H$202)/((Измерения!$H$2:$H$202="не соответствует")+(Измерения!$H$2:$H$202="недостаточно")),36),"")="","",IF(IF(INDEX(Измерения!$J:$J,IFERROR(_xludf.AGGREGATE(15,6,ROW(Измерения!$H$2:$H$202)/((Измерения!$H$2:$H$202="не соответствует")+(Измерения!$H$2:$H$202="недостаточно")),36),""))="Г.2 — достаточность интервалов",1,0)=1,"Е.1 — обусловлено размещением (пользователь)","Е.2 — эксплуатация (владелец)"))</f>
        <v/>
      </c>
      <c r="C38" s="11" t="str">
        <f>IFERROR(INDEX(Измерения!$B:$B,IFERROR(_xludf.AGGREGATE(15,6,ROW(Измерения!$H$2:$H$202)/((Измерения!$H$2:$H$202="не соответствует")+(Измерения!$H$2:$H$202="недостаточно")),36),"")),"")</f>
        <v/>
      </c>
      <c r="D38" s="11" t="str">
        <f>IFERROR(INDEX(Измерения!$A:$A,IFERROR(_xludf.AGGREGATE(15,6,ROW(Измерения!$H$2:$H$202)/((Измерения!$H$2:$H$202="не соответствует")+(Измерения!$H$2:$H$202="недостаточно")),36),"")),"")</f>
        <v/>
      </c>
      <c r="E38" s="11" t="str">
        <f>IF(IFERROR(_xludf.AGGREGATE(15,6,ROW(Измерения!$H$2:$H$202)/((Измерения!$H$2:$H$202="не соответствует")+(Измерения!$H$2:$H$202="недостаточно")),36),"")="","",IF(IF(INDEX(Измерения!$J:$J,IFERROR(_xludf.AGGREGATE(15,6,ROW(Измерения!$H$2:$H$202)/((Измерения!$H$2:$H$202="не соответствует")+(Измерения!$H$2:$H$202="недостаточно")),36),""))="Г.2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8" s="11" t="str">
        <f>IFERROR(INDEX(Измерения!$C:$C,IFERROR(_xludf.AGGREGATE(15,6,ROW(Измерения!$H$2:$H$202)/((Измерения!$H$2:$H$202="не соответствует")+(Измерения!$H$2:$H$202="недостаточно")),36),""))&amp;": "&amp;INDEX(Измерения!$E:$E,IFERROR(_xludf.AGGREGATE(15,6,ROW(Измерения!$H$2:$H$202)/((Измерения!$H$2:$H$202="не соответствует")+(Измерения!$H$2:$H$202="недостаточно")),36),""))&amp;" "&amp;INDEX(Измерения!$F:$F,IFERROR(_xludf.AGGREGATE(15,6,ROW(Измерения!$H$2:$H$202)/((Измерения!$H$2:$H$202="не соответствует")+(Измерения!$H$2:$H$202="недостаточно")),36),""))&amp;" при норме — "&amp;INDEX(Измерения!$G:$G,IFERROR(_xludf.AGGREGATE(15,6,ROW(Измерения!$H$2:$H$202)/((Измерения!$H$2:$H$202="не соответствует")+(Измерения!$H$2:$H$202="недостаточно")),36),"")),"")</f>
        <v/>
      </c>
      <c r="G38" s="11" t="str">
        <f>IF(IFERROR(_xludf.AGGREGATE(15,6,ROW(Измерения!$H$2:$H$202)/((Измерения!$H$2:$H$202="не соответствует")+(Измерения!$H$2:$H$202="недостаточно")),36),"")="","",IF(IF(INDEX(Измерения!$J:$J,IFERROR(_xludf.AGGREGATE(15,6,ROW(Измерения!$H$2:$H$202)/((Измерения!$H$2:$H$202="не соответствует")+(Измерения!$H$2:$H$202="недостаточно")),36),""))="Г.2 — достаточность интервалов",1,0)=1,"Пользователь инфраструктуры","Владелец инфраструктуры"))</f>
        <v/>
      </c>
      <c r="H38" s="10"/>
      <c r="I38" s="10"/>
    </row>
    <row r="39">
      <c r="A39" s="11" t="str">
        <f>IF(IFERROR(_xludf.AGGREGATE(15,6,ROW(Измерения!$H$2:$H$202)/((Измерения!$H$2:$H$202="не соответствует")+(Измерения!$H$2:$H$202="недостаточно")),37),"")="","",37)</f>
        <v/>
      </c>
      <c r="B39" s="11" t="str">
        <f>IF(IFERROR(_xludf.AGGREGATE(15,6,ROW(Измерения!$H$2:$H$202)/((Измерения!$H$2:$H$202="не соответствует")+(Измерения!$H$2:$H$202="недостаточно")),37),"")="","",IF(IF(INDEX(Измерения!$J:$J,IFERROR(_xludf.AGGREGATE(15,6,ROW(Измерения!$H$2:$H$202)/((Измерения!$H$2:$H$202="не соответствует")+(Измерения!$H$2:$H$202="недостаточно")),37),""))="Г.2 — достаточность интервалов",1,0)=1,"Е.1 — обусловлено размещением (пользователь)","Е.2 — эксплуатация (владелец)"))</f>
        <v/>
      </c>
      <c r="C39" s="11" t="str">
        <f>IFERROR(INDEX(Измерения!$B:$B,IFERROR(_xludf.AGGREGATE(15,6,ROW(Измерения!$H$2:$H$202)/((Измерения!$H$2:$H$202="не соответствует")+(Измерения!$H$2:$H$202="недостаточно")),37),"")),"")</f>
        <v/>
      </c>
      <c r="D39" s="11" t="str">
        <f>IFERROR(INDEX(Измерения!$A:$A,IFERROR(_xludf.AGGREGATE(15,6,ROW(Измерения!$H$2:$H$202)/((Измерения!$H$2:$H$202="не соответствует")+(Измерения!$H$2:$H$202="недостаточно")),37),"")),"")</f>
        <v/>
      </c>
      <c r="E39" s="11" t="str">
        <f>IF(IFERROR(_xludf.AGGREGATE(15,6,ROW(Измерения!$H$2:$H$202)/((Измерения!$H$2:$H$202="не соответствует")+(Измерения!$H$2:$H$202="недостаточно")),37),"")="","",IF(IF(INDEX(Измерения!$J:$J,IFERROR(_xludf.AGGREGATE(15,6,ROW(Измерения!$H$2:$H$202)/((Измерения!$H$2:$H$202="не соответствует")+(Измерения!$H$2:$H$202="недостаточно")),37),""))="Г.2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9" s="11" t="str">
        <f>IFERROR(INDEX(Измерения!$C:$C,IFERROR(_xludf.AGGREGATE(15,6,ROW(Измерения!$H$2:$H$202)/((Измерения!$H$2:$H$202="не соответствует")+(Измерения!$H$2:$H$202="недостаточно")),37),""))&amp;": "&amp;INDEX(Измерения!$E:$E,IFERROR(_xludf.AGGREGATE(15,6,ROW(Измерения!$H$2:$H$202)/((Измерения!$H$2:$H$202="не соответствует")+(Измерения!$H$2:$H$202="недостаточно")),37),""))&amp;" "&amp;INDEX(Измерения!$F:$F,IFERROR(_xludf.AGGREGATE(15,6,ROW(Измерения!$H$2:$H$202)/((Измерения!$H$2:$H$202="не соответствует")+(Измерения!$H$2:$H$202="недостаточно")),37),""))&amp;" при норме — "&amp;INDEX(Измерения!$G:$G,IFERROR(_xludf.AGGREGATE(15,6,ROW(Измерения!$H$2:$H$202)/((Измерения!$H$2:$H$202="не соответствует")+(Измерения!$H$2:$H$202="недостаточно")),37),"")),"")</f>
        <v/>
      </c>
      <c r="G39" s="11" t="str">
        <f>IF(IFERROR(_xludf.AGGREGATE(15,6,ROW(Измерения!$H$2:$H$202)/((Измерения!$H$2:$H$202="не соответствует")+(Измерения!$H$2:$H$202="недостаточно")),37),"")="","",IF(IF(INDEX(Измерения!$J:$J,IFERROR(_xludf.AGGREGATE(15,6,ROW(Измерения!$H$2:$H$202)/((Измерения!$H$2:$H$202="не соответствует")+(Измерения!$H$2:$H$202="недостаточно")),37),""))="Г.2 — достаточность интервалов",1,0)=1,"Пользователь инфраструктуры","Владелец инфраструктуры"))</f>
        <v/>
      </c>
      <c r="H39" s="10"/>
      <c r="I39" s="10"/>
    </row>
    <row r="40">
      <c r="A40" s="11" t="str">
        <f>IF(IFERROR(_xludf.AGGREGATE(15,6,ROW(Измерения!$H$2:$H$202)/((Измерения!$H$2:$H$202="не соответствует")+(Измерения!$H$2:$H$202="недостаточно")),38),"")="","",38)</f>
        <v/>
      </c>
      <c r="B40" s="11" t="str">
        <f>IF(IFERROR(_xludf.AGGREGATE(15,6,ROW(Измерения!$H$2:$H$202)/((Измерения!$H$2:$H$202="не соответствует")+(Измерения!$H$2:$H$202="недостаточно")),38),"")="","",IF(IF(INDEX(Измерения!$J:$J,IFERROR(_xludf.AGGREGATE(15,6,ROW(Измерения!$H$2:$H$202)/((Измерения!$H$2:$H$202="не соответствует")+(Измерения!$H$2:$H$202="недостаточно")),38),""))="Г.2 — достаточность интервалов",1,0)=1,"Е.1 — обусловлено размещением (пользователь)","Е.2 — эксплуатация (владелец)"))</f>
        <v/>
      </c>
      <c r="C40" s="11" t="str">
        <f>IFERROR(INDEX(Измерения!$B:$B,IFERROR(_xludf.AGGREGATE(15,6,ROW(Измерения!$H$2:$H$202)/((Измерения!$H$2:$H$202="не соответствует")+(Измерения!$H$2:$H$202="недостаточно")),38),"")),"")</f>
        <v/>
      </c>
      <c r="D40" s="11" t="str">
        <f>IFERROR(INDEX(Измерения!$A:$A,IFERROR(_xludf.AGGREGATE(15,6,ROW(Измерения!$H$2:$H$202)/((Измерения!$H$2:$H$202="не соответствует")+(Измерения!$H$2:$H$202="недостаточно")),38),"")),"")</f>
        <v/>
      </c>
      <c r="E40" s="11" t="str">
        <f>IF(IFERROR(_xludf.AGGREGATE(15,6,ROW(Измерения!$H$2:$H$202)/((Измерения!$H$2:$H$202="не соответствует")+(Измерения!$H$2:$H$202="недостаточно")),38),"")="","",IF(IF(INDEX(Измерения!$J:$J,IFERROR(_xludf.AGGREGATE(15,6,ROW(Измерения!$H$2:$H$202)/((Измерения!$H$2:$H$202="не соответствует")+(Измерения!$H$2:$H$202="недостаточно")),38),""))="Г.2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0" s="11" t="str">
        <f>IFERROR(INDEX(Измерения!$C:$C,IFERROR(_xludf.AGGREGATE(15,6,ROW(Измерения!$H$2:$H$202)/((Измерения!$H$2:$H$202="не соответствует")+(Измерения!$H$2:$H$202="недостаточно")),38),""))&amp;": "&amp;INDEX(Измерения!$E:$E,IFERROR(_xludf.AGGREGATE(15,6,ROW(Измерения!$H$2:$H$202)/((Измерения!$H$2:$H$202="не соответствует")+(Измерения!$H$2:$H$202="недостаточно")),38),""))&amp;" "&amp;INDEX(Измерения!$F:$F,IFERROR(_xludf.AGGREGATE(15,6,ROW(Измерения!$H$2:$H$202)/((Измерения!$H$2:$H$202="не соответствует")+(Измерения!$H$2:$H$202="недостаточно")),38),""))&amp;" при норме — "&amp;INDEX(Измерения!$G:$G,IFERROR(_xludf.AGGREGATE(15,6,ROW(Измерения!$H$2:$H$202)/((Измерения!$H$2:$H$202="не соответствует")+(Измерения!$H$2:$H$202="недостаточно")),38),"")),"")</f>
        <v/>
      </c>
      <c r="G40" s="11" t="str">
        <f>IF(IFERROR(_xludf.AGGREGATE(15,6,ROW(Измерения!$H$2:$H$202)/((Измерения!$H$2:$H$202="не соответствует")+(Измерения!$H$2:$H$202="недостаточно")),38),"")="","",IF(IF(INDEX(Измерения!$J:$J,IFERROR(_xludf.AGGREGATE(15,6,ROW(Измерения!$H$2:$H$202)/((Измерения!$H$2:$H$202="не соответствует")+(Измерения!$H$2:$H$202="недостаточно")),38),""))="Г.2 — достаточность интервалов",1,0)=1,"Пользователь инфраструктуры","Владелец инфраструктуры"))</f>
        <v/>
      </c>
      <c r="H40" s="10"/>
      <c r="I40" s="10"/>
    </row>
    <row r="41">
      <c r="A41" s="11" t="str">
        <f>IF(IFERROR(_xludf.AGGREGATE(15,6,ROW(Измерения!$H$2:$H$202)/((Измерения!$H$2:$H$202="не соответствует")+(Измерения!$H$2:$H$202="недостаточно")),39),"")="","",39)</f>
        <v/>
      </c>
      <c r="B41" s="11" t="str">
        <f>IF(IFERROR(_xludf.AGGREGATE(15,6,ROW(Измерения!$H$2:$H$202)/((Измерения!$H$2:$H$202="не соответствует")+(Измерения!$H$2:$H$202="недостаточно")),39),"")="","",IF(IF(INDEX(Измерения!$J:$J,IFERROR(_xludf.AGGREGATE(15,6,ROW(Измерения!$H$2:$H$202)/((Измерения!$H$2:$H$202="не соответствует")+(Измерения!$H$2:$H$202="недостаточно")),39),""))="Г.2 — достаточность интервалов",1,0)=1,"Е.1 — обусловлено размещением (пользователь)","Е.2 — эксплуатация (владелец)"))</f>
        <v/>
      </c>
      <c r="C41" s="11" t="str">
        <f>IFERROR(INDEX(Измерения!$B:$B,IFERROR(_xludf.AGGREGATE(15,6,ROW(Измерения!$H$2:$H$202)/((Измерения!$H$2:$H$202="не соответствует")+(Измерения!$H$2:$H$202="недостаточно")),39),"")),"")</f>
        <v/>
      </c>
      <c r="D41" s="11" t="str">
        <f>IFERROR(INDEX(Измерения!$A:$A,IFERROR(_xludf.AGGREGATE(15,6,ROW(Измерения!$H$2:$H$202)/((Измерения!$H$2:$H$202="не соответствует")+(Измерения!$H$2:$H$202="недостаточно")),39),"")),"")</f>
        <v/>
      </c>
      <c r="E41" s="11" t="str">
        <f>IF(IFERROR(_xludf.AGGREGATE(15,6,ROW(Измерения!$H$2:$H$202)/((Измерения!$H$2:$H$202="не соответствует")+(Измерения!$H$2:$H$202="недостаточно")),39),"")="","",IF(IF(INDEX(Измерения!$J:$J,IFERROR(_xludf.AGGREGATE(15,6,ROW(Измерения!$H$2:$H$202)/((Измерения!$H$2:$H$202="не соответствует")+(Измерения!$H$2:$H$202="недостаточно")),39),""))="Г.2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1" s="11" t="str">
        <f>IFERROR(INDEX(Измерения!$C:$C,IFERROR(_xludf.AGGREGATE(15,6,ROW(Измерения!$H$2:$H$202)/((Измерения!$H$2:$H$202="не соответствует")+(Измерения!$H$2:$H$202="недостаточно")),39),""))&amp;": "&amp;INDEX(Измерения!$E:$E,IFERROR(_xludf.AGGREGATE(15,6,ROW(Измерения!$H$2:$H$202)/((Измерения!$H$2:$H$202="не соответствует")+(Измерения!$H$2:$H$202="недостаточно")),39),""))&amp;" "&amp;INDEX(Измерения!$F:$F,IFERROR(_xludf.AGGREGATE(15,6,ROW(Измерения!$H$2:$H$202)/((Измерения!$H$2:$H$202="не соответствует")+(Измерения!$H$2:$H$202="недостаточно")),39),""))&amp;" при норме — "&amp;INDEX(Измерения!$G:$G,IFERROR(_xludf.AGGREGATE(15,6,ROW(Измерения!$H$2:$H$202)/((Измерения!$H$2:$H$202="не соответствует")+(Измерения!$H$2:$H$202="недостаточно")),39),"")),"")</f>
        <v/>
      </c>
      <c r="G41" s="11" t="str">
        <f>IF(IFERROR(_xludf.AGGREGATE(15,6,ROW(Измерения!$H$2:$H$202)/((Измерения!$H$2:$H$202="не соответствует")+(Измерения!$H$2:$H$202="недостаточно")),39),"")="","",IF(IF(INDEX(Измерения!$J:$J,IFERROR(_xludf.AGGREGATE(15,6,ROW(Измерения!$H$2:$H$202)/((Измерения!$H$2:$H$202="не соответствует")+(Измерения!$H$2:$H$202="недостаточно")),39),""))="Г.2 — достаточность интервалов",1,0)=1,"Пользователь инфраструктуры","Владелец инфраструктуры"))</f>
        <v/>
      </c>
      <c r="H41" s="10"/>
      <c r="I41" s="10"/>
    </row>
    <row r="42">
      <c r="A42" s="11" t="str">
        <f>IF(IFERROR(_xludf.AGGREGATE(15,6,ROW(Измерения!$H$2:$H$202)/((Измерения!$H$2:$H$202="не соответствует")+(Измерения!$H$2:$H$202="недостаточно")),40),"")="","",40)</f>
        <v/>
      </c>
      <c r="B42" s="11" t="str">
        <f>IF(IFERROR(_xludf.AGGREGATE(15,6,ROW(Измерения!$H$2:$H$202)/((Измерения!$H$2:$H$202="не соответствует")+(Измерения!$H$2:$H$202="недостаточно")),40),"")="","",IF(IF(INDEX(Измерения!$J:$J,IFERROR(_xludf.AGGREGATE(15,6,ROW(Измерения!$H$2:$H$202)/((Измерения!$H$2:$H$202="не соответствует")+(Измерения!$H$2:$H$202="недостаточно")),40),""))="Г.2 — достаточность интервалов",1,0)=1,"Е.1 — обусловлено размещением (пользователь)","Е.2 — эксплуатация (владелец)"))</f>
        <v/>
      </c>
      <c r="C42" s="11" t="str">
        <f>IFERROR(INDEX(Измерения!$B:$B,IFERROR(_xludf.AGGREGATE(15,6,ROW(Измерения!$H$2:$H$202)/((Измерения!$H$2:$H$202="не соответствует")+(Измерения!$H$2:$H$202="недостаточно")),40),"")),"")</f>
        <v/>
      </c>
      <c r="D42" s="11" t="str">
        <f>IFERROR(INDEX(Измерения!$A:$A,IFERROR(_xludf.AGGREGATE(15,6,ROW(Измерения!$H$2:$H$202)/((Измерения!$H$2:$H$202="не соответствует")+(Измерения!$H$2:$H$202="недостаточно")),40),"")),"")</f>
        <v/>
      </c>
      <c r="E42" s="11" t="str">
        <f>IF(IFERROR(_xludf.AGGREGATE(15,6,ROW(Измерения!$H$2:$H$202)/((Измерения!$H$2:$H$202="не соответствует")+(Измерения!$H$2:$H$202="недостаточно")),40),"")="","",IF(IF(INDEX(Измерения!$J:$J,IFERROR(_xludf.AGGREGATE(15,6,ROW(Измерения!$H$2:$H$202)/((Измерения!$H$2:$H$202="не соответствует")+(Измерения!$H$2:$H$202="недостаточно")),40),""))="Г.2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2" s="11" t="str">
        <f>IFERROR(INDEX(Измерения!$C:$C,IFERROR(_xludf.AGGREGATE(15,6,ROW(Измерения!$H$2:$H$202)/((Измерения!$H$2:$H$202="не соответствует")+(Измерения!$H$2:$H$202="недостаточно")),40),""))&amp;": "&amp;INDEX(Измерения!$E:$E,IFERROR(_xludf.AGGREGATE(15,6,ROW(Измерения!$H$2:$H$202)/((Измерения!$H$2:$H$202="не соответствует")+(Измерения!$H$2:$H$202="недостаточно")),40),""))&amp;" "&amp;INDEX(Измерения!$F:$F,IFERROR(_xludf.AGGREGATE(15,6,ROW(Измерения!$H$2:$H$202)/((Измерения!$H$2:$H$202="не соответствует")+(Измерения!$H$2:$H$202="недостаточно")),40),""))&amp;" при норме — "&amp;INDEX(Измерения!$G:$G,IFERROR(_xludf.AGGREGATE(15,6,ROW(Измерения!$H$2:$H$202)/((Измерения!$H$2:$H$202="не соответствует")+(Измерения!$H$2:$H$202="недостаточно")),40),"")),"")</f>
        <v/>
      </c>
      <c r="G42" s="11" t="str">
        <f>IF(IFERROR(_xludf.AGGREGATE(15,6,ROW(Измерения!$H$2:$H$202)/((Измерения!$H$2:$H$202="не соответствует")+(Измерения!$H$2:$H$202="недостаточно")),40),"")="","",IF(IF(INDEX(Измерения!$J:$J,IFERROR(_xludf.AGGREGATE(15,6,ROW(Измерения!$H$2:$H$202)/((Измерения!$H$2:$H$202="не соответствует")+(Измерения!$H$2:$H$202="недостаточно")),40),""))="Г.2 — достаточность интервалов",1,0)=1,"Пользователь инфраструктуры","Владелец инфраструктуры"))</f>
        <v/>
      </c>
      <c r="H42" s="10"/>
      <c r="I42" s="10"/>
    </row>
    <row r="43">
      <c r="A43" s="11" t="str">
        <f>IF(IFERROR(_xludf.AGGREGATE(15,6,ROW(Измерения!$H$2:$H$202)/((Измерения!$H$2:$H$202="не соответствует")+(Измерения!$H$2:$H$202="недостаточно")),41),"")="","",41)</f>
        <v/>
      </c>
      <c r="B43" s="11" t="str">
        <f>IF(IFERROR(_xludf.AGGREGATE(15,6,ROW(Измерения!$H$2:$H$202)/((Измерения!$H$2:$H$202="не соответствует")+(Измерения!$H$2:$H$202="недостаточно")),41),"")="","",IF(IF(INDEX(Измерения!$J:$J,IFERROR(_xludf.AGGREGATE(15,6,ROW(Измерения!$H$2:$H$202)/((Измерения!$H$2:$H$202="не соответствует")+(Измерения!$H$2:$H$202="недостаточно")),41),""))="Г.2 — достаточность интервалов",1,0)=1,"Е.1 — обусловлено размещением (пользователь)","Е.2 — эксплуатация (владелец)"))</f>
        <v/>
      </c>
      <c r="C43" s="11" t="str">
        <f>IFERROR(INDEX(Измерения!$B:$B,IFERROR(_xludf.AGGREGATE(15,6,ROW(Измерения!$H$2:$H$202)/((Измерения!$H$2:$H$202="не соответствует")+(Измерения!$H$2:$H$202="недостаточно")),41),"")),"")</f>
        <v/>
      </c>
      <c r="D43" s="11" t="str">
        <f>IFERROR(INDEX(Измерения!$A:$A,IFERROR(_xludf.AGGREGATE(15,6,ROW(Измерения!$H$2:$H$202)/((Измерения!$H$2:$H$202="не соответствует")+(Измерения!$H$2:$H$202="недостаточно")),41),"")),"")</f>
        <v/>
      </c>
      <c r="E43" s="11" t="str">
        <f>IF(IFERROR(_xludf.AGGREGATE(15,6,ROW(Измерения!$H$2:$H$202)/((Измерения!$H$2:$H$202="не соответствует")+(Измерения!$H$2:$H$202="недостаточно")),41),"")="","",IF(IF(INDEX(Измерения!$J:$J,IFERROR(_xludf.AGGREGATE(15,6,ROW(Измерения!$H$2:$H$202)/((Измерения!$H$2:$H$202="не соответствует")+(Измерения!$H$2:$H$202="недостаточно")),41),""))="Г.2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3" s="11" t="str">
        <f>IFERROR(INDEX(Измерения!$C:$C,IFERROR(_xludf.AGGREGATE(15,6,ROW(Измерения!$H$2:$H$202)/((Измерения!$H$2:$H$202="не соответствует")+(Измерения!$H$2:$H$202="недостаточно")),41),""))&amp;": "&amp;INDEX(Измерения!$E:$E,IFERROR(_xludf.AGGREGATE(15,6,ROW(Измерения!$H$2:$H$202)/((Измерения!$H$2:$H$202="не соответствует")+(Измерения!$H$2:$H$202="недостаточно")),41),""))&amp;" "&amp;INDEX(Измерения!$F:$F,IFERROR(_xludf.AGGREGATE(15,6,ROW(Измерения!$H$2:$H$202)/((Измерения!$H$2:$H$202="не соответствует")+(Измерения!$H$2:$H$202="недостаточно")),41),""))&amp;" при норме — "&amp;INDEX(Измерения!$G:$G,IFERROR(_xludf.AGGREGATE(15,6,ROW(Измерения!$H$2:$H$202)/((Измерения!$H$2:$H$202="не соответствует")+(Измерения!$H$2:$H$202="недостаточно")),41),"")),"")</f>
        <v/>
      </c>
      <c r="G43" s="11" t="str">
        <f>IF(IFERROR(_xludf.AGGREGATE(15,6,ROW(Измерения!$H$2:$H$202)/((Измерения!$H$2:$H$202="не соответствует")+(Измерения!$H$2:$H$202="недостаточно")),41),"")="","",IF(IF(INDEX(Измерения!$J:$J,IFERROR(_xludf.AGGREGATE(15,6,ROW(Измерения!$H$2:$H$202)/((Измерения!$H$2:$H$202="не соответствует")+(Измерения!$H$2:$H$202="недостаточно")),41),""))="Г.2 — достаточность интервалов",1,0)=1,"Пользователь инфраструктуры","Владелец инфраструктуры"))</f>
        <v/>
      </c>
      <c r="H43" s="10"/>
      <c r="I43" s="10"/>
    </row>
    <row r="44">
      <c r="A44" s="11" t="str">
        <f>IF(IFERROR(_xludf.AGGREGATE(15,6,ROW(Измерения!$H$2:$H$202)/((Измерения!$H$2:$H$202="не соответствует")+(Измерения!$H$2:$H$202="недостаточно")),42),"")="","",42)</f>
        <v/>
      </c>
      <c r="B44" s="11" t="str">
        <f>IF(IFERROR(_xludf.AGGREGATE(15,6,ROW(Измерения!$H$2:$H$202)/((Измерения!$H$2:$H$202="не соответствует")+(Измерения!$H$2:$H$202="недостаточно")),42),"")="","",IF(IF(INDEX(Измерения!$J:$J,IFERROR(_xludf.AGGREGATE(15,6,ROW(Измерения!$H$2:$H$202)/((Измерения!$H$2:$H$202="не соответствует")+(Измерения!$H$2:$H$202="недостаточно")),42),""))="Г.2 — достаточность интервалов",1,0)=1,"Е.1 — обусловлено размещением (пользователь)","Е.2 — эксплуатация (владелец)"))</f>
        <v/>
      </c>
      <c r="C44" s="11" t="str">
        <f>IFERROR(INDEX(Измерения!$B:$B,IFERROR(_xludf.AGGREGATE(15,6,ROW(Измерения!$H$2:$H$202)/((Измерения!$H$2:$H$202="не соответствует")+(Измерения!$H$2:$H$202="недостаточно")),42),"")),"")</f>
        <v/>
      </c>
      <c r="D44" s="11" t="str">
        <f>IFERROR(INDEX(Измерения!$A:$A,IFERROR(_xludf.AGGREGATE(15,6,ROW(Измерения!$H$2:$H$202)/((Измерения!$H$2:$H$202="не соответствует")+(Измерения!$H$2:$H$202="недостаточно")),42),"")),"")</f>
        <v/>
      </c>
      <c r="E44" s="11" t="str">
        <f>IF(IFERROR(_xludf.AGGREGATE(15,6,ROW(Измерения!$H$2:$H$202)/((Измерения!$H$2:$H$202="не соответствует")+(Измерения!$H$2:$H$202="недостаточно")),42),"")="","",IF(IF(INDEX(Измерения!$J:$J,IFERROR(_xludf.AGGREGATE(15,6,ROW(Измерения!$H$2:$H$202)/((Измерения!$H$2:$H$202="не соответствует")+(Измерения!$H$2:$H$202="недостаточно")),42),""))="Г.2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4" s="11" t="str">
        <f>IFERROR(INDEX(Измерения!$C:$C,IFERROR(_xludf.AGGREGATE(15,6,ROW(Измерения!$H$2:$H$202)/((Измерения!$H$2:$H$202="не соответствует")+(Измерения!$H$2:$H$202="недостаточно")),42),""))&amp;": "&amp;INDEX(Измерения!$E:$E,IFERROR(_xludf.AGGREGATE(15,6,ROW(Измерения!$H$2:$H$202)/((Измерения!$H$2:$H$202="не соответствует")+(Измерения!$H$2:$H$202="недостаточно")),42),""))&amp;" "&amp;INDEX(Измерения!$F:$F,IFERROR(_xludf.AGGREGATE(15,6,ROW(Измерения!$H$2:$H$202)/((Измерения!$H$2:$H$202="не соответствует")+(Измерения!$H$2:$H$202="недостаточно")),42),""))&amp;" при норме — "&amp;INDEX(Измерения!$G:$G,IFERROR(_xludf.AGGREGATE(15,6,ROW(Измерения!$H$2:$H$202)/((Измерения!$H$2:$H$202="не соответствует")+(Измерения!$H$2:$H$202="недостаточно")),42),"")),"")</f>
        <v/>
      </c>
      <c r="G44" s="11" t="str">
        <f>IF(IFERROR(_xludf.AGGREGATE(15,6,ROW(Измерения!$H$2:$H$202)/((Измерения!$H$2:$H$202="не соответствует")+(Измерения!$H$2:$H$202="недостаточно")),42),"")="","",IF(IF(INDEX(Измерения!$J:$J,IFERROR(_xludf.AGGREGATE(15,6,ROW(Измерения!$H$2:$H$202)/((Измерения!$H$2:$H$202="не соответствует")+(Измерения!$H$2:$H$202="недостаточно")),42),""))="Г.2 — достаточность интервалов",1,0)=1,"Пользователь инфраструктуры","Владелец инфраструктуры"))</f>
        <v/>
      </c>
      <c r="H44" s="10"/>
      <c r="I44" s="10"/>
    </row>
    <row r="45">
      <c r="A45" s="11" t="str">
        <f>IF(IFERROR(_xludf.AGGREGATE(15,6,ROW(Измерения!$H$2:$H$202)/((Измерения!$H$2:$H$202="не соответствует")+(Измерения!$H$2:$H$202="недостаточно")),43),"")="","",43)</f>
        <v/>
      </c>
      <c r="B45" s="11" t="str">
        <f>IF(IFERROR(_xludf.AGGREGATE(15,6,ROW(Измерения!$H$2:$H$202)/((Измерения!$H$2:$H$202="не соответствует")+(Измерения!$H$2:$H$202="недостаточно")),43),"")="","",IF(IF(INDEX(Измерения!$J:$J,IFERROR(_xludf.AGGREGATE(15,6,ROW(Измерения!$H$2:$H$202)/((Измерения!$H$2:$H$202="не соответствует")+(Измерения!$H$2:$H$202="недостаточно")),43),""))="Г.2 — достаточность интервалов",1,0)=1,"Е.1 — обусловлено размещением (пользователь)","Е.2 — эксплуатация (владелец)"))</f>
        <v/>
      </c>
      <c r="C45" s="11" t="str">
        <f>IFERROR(INDEX(Измерения!$B:$B,IFERROR(_xludf.AGGREGATE(15,6,ROW(Измерения!$H$2:$H$202)/((Измерения!$H$2:$H$202="не соответствует")+(Измерения!$H$2:$H$202="недостаточно")),43),"")),"")</f>
        <v/>
      </c>
      <c r="D45" s="11" t="str">
        <f>IFERROR(INDEX(Измерения!$A:$A,IFERROR(_xludf.AGGREGATE(15,6,ROW(Измерения!$H$2:$H$202)/((Измерения!$H$2:$H$202="не соответствует")+(Измерения!$H$2:$H$202="недостаточно")),43),"")),"")</f>
        <v/>
      </c>
      <c r="E45" s="11" t="str">
        <f>IF(IFERROR(_xludf.AGGREGATE(15,6,ROW(Измерения!$H$2:$H$202)/((Измерения!$H$2:$H$202="не соответствует")+(Измерения!$H$2:$H$202="недостаточно")),43),"")="","",IF(IF(INDEX(Измерения!$J:$J,IFERROR(_xludf.AGGREGATE(15,6,ROW(Измерения!$H$2:$H$202)/((Измерения!$H$2:$H$202="не соответствует")+(Измерения!$H$2:$H$202="недостаточно")),43),""))="Г.2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5" s="11" t="str">
        <f>IFERROR(INDEX(Измерения!$C:$C,IFERROR(_xludf.AGGREGATE(15,6,ROW(Измерения!$H$2:$H$202)/((Измерения!$H$2:$H$202="не соответствует")+(Измерения!$H$2:$H$202="недостаточно")),43),""))&amp;": "&amp;INDEX(Измерения!$E:$E,IFERROR(_xludf.AGGREGATE(15,6,ROW(Измерения!$H$2:$H$202)/((Измерения!$H$2:$H$202="не соответствует")+(Измерения!$H$2:$H$202="недостаточно")),43),""))&amp;" "&amp;INDEX(Измерения!$F:$F,IFERROR(_xludf.AGGREGATE(15,6,ROW(Измерения!$H$2:$H$202)/((Измерения!$H$2:$H$202="не соответствует")+(Измерения!$H$2:$H$202="недостаточно")),43),""))&amp;" при норме — "&amp;INDEX(Измерения!$G:$G,IFERROR(_xludf.AGGREGATE(15,6,ROW(Измерения!$H$2:$H$202)/((Измерения!$H$2:$H$202="не соответствует")+(Измерения!$H$2:$H$202="недостаточно")),43),"")),"")</f>
        <v/>
      </c>
      <c r="G45" s="11" t="str">
        <f>IF(IFERROR(_xludf.AGGREGATE(15,6,ROW(Измерения!$H$2:$H$202)/((Измерения!$H$2:$H$202="не соответствует")+(Измерения!$H$2:$H$202="недостаточно")),43),"")="","",IF(IF(INDEX(Измерения!$J:$J,IFERROR(_xludf.AGGREGATE(15,6,ROW(Измерения!$H$2:$H$202)/((Измерения!$H$2:$H$202="не соответствует")+(Измерения!$H$2:$H$202="недостаточно")),43),""))="Г.2 — достаточность интервалов",1,0)=1,"Пользователь инфраструктуры","Владелец инфраструктуры"))</f>
        <v/>
      </c>
      <c r="H45" s="10"/>
      <c r="I45" s="10"/>
    </row>
    <row r="46">
      <c r="A46" s="11" t="str">
        <f>IF(IFERROR(_xludf.AGGREGATE(15,6,ROW(Измерения!$H$2:$H$202)/((Измерения!$H$2:$H$202="не соответствует")+(Измерения!$H$2:$H$202="недостаточно")),44),"")="","",44)</f>
        <v/>
      </c>
      <c r="B46" s="11" t="str">
        <f>IF(IFERROR(_xludf.AGGREGATE(15,6,ROW(Измерения!$H$2:$H$202)/((Измерения!$H$2:$H$202="не соответствует")+(Измерения!$H$2:$H$202="недостаточно")),44),"")="","",IF(IF(INDEX(Измерения!$J:$J,IFERROR(_xludf.AGGREGATE(15,6,ROW(Измерения!$H$2:$H$202)/((Измерения!$H$2:$H$202="не соответствует")+(Измерения!$H$2:$H$202="недостаточно")),44),""))="Г.2 — достаточность интервалов",1,0)=1,"Е.1 — обусловлено размещением (пользователь)","Е.2 — эксплуатация (владелец)"))</f>
        <v/>
      </c>
      <c r="C46" s="11" t="str">
        <f>IFERROR(INDEX(Измерения!$B:$B,IFERROR(_xludf.AGGREGATE(15,6,ROW(Измерения!$H$2:$H$202)/((Измерения!$H$2:$H$202="не соответствует")+(Измерения!$H$2:$H$202="недостаточно")),44),"")),"")</f>
        <v/>
      </c>
      <c r="D46" s="11" t="str">
        <f>IFERROR(INDEX(Измерения!$A:$A,IFERROR(_xludf.AGGREGATE(15,6,ROW(Измерения!$H$2:$H$202)/((Измерения!$H$2:$H$202="не соответствует")+(Измерения!$H$2:$H$202="недостаточно")),44),"")),"")</f>
        <v/>
      </c>
      <c r="E46" s="11" t="str">
        <f>IF(IFERROR(_xludf.AGGREGATE(15,6,ROW(Измерения!$H$2:$H$202)/((Измерения!$H$2:$H$202="не соответствует")+(Измерения!$H$2:$H$202="недостаточно")),44),"")="","",IF(IF(INDEX(Измерения!$J:$J,IFERROR(_xludf.AGGREGATE(15,6,ROW(Измерения!$H$2:$H$202)/((Измерения!$H$2:$H$202="не соответствует")+(Измерения!$H$2:$H$202="недостаточно")),44),""))="Г.2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6" s="11" t="str">
        <f>IFERROR(INDEX(Измерения!$C:$C,IFERROR(_xludf.AGGREGATE(15,6,ROW(Измерения!$H$2:$H$202)/((Измерения!$H$2:$H$202="не соответствует")+(Измерения!$H$2:$H$202="недостаточно")),44),""))&amp;": "&amp;INDEX(Измерения!$E:$E,IFERROR(_xludf.AGGREGATE(15,6,ROW(Измерения!$H$2:$H$202)/((Измерения!$H$2:$H$202="не соответствует")+(Измерения!$H$2:$H$202="недостаточно")),44),""))&amp;" "&amp;INDEX(Измерения!$F:$F,IFERROR(_xludf.AGGREGATE(15,6,ROW(Измерения!$H$2:$H$202)/((Измерения!$H$2:$H$202="не соответствует")+(Измерения!$H$2:$H$202="недостаточно")),44),""))&amp;" при норме — "&amp;INDEX(Измерения!$G:$G,IFERROR(_xludf.AGGREGATE(15,6,ROW(Измерения!$H$2:$H$202)/((Измерения!$H$2:$H$202="не соответствует")+(Измерения!$H$2:$H$202="недостаточно")),44),"")),"")</f>
        <v/>
      </c>
      <c r="G46" s="11" t="str">
        <f>IF(IFERROR(_xludf.AGGREGATE(15,6,ROW(Измерения!$H$2:$H$202)/((Измерения!$H$2:$H$202="не соответствует")+(Измерения!$H$2:$H$202="недостаточно")),44),"")="","",IF(IF(INDEX(Измерения!$J:$J,IFERROR(_xludf.AGGREGATE(15,6,ROW(Измерения!$H$2:$H$202)/((Измерения!$H$2:$H$202="не соответствует")+(Измерения!$H$2:$H$202="недостаточно")),44),""))="Г.2 — достаточность интервалов",1,0)=1,"Пользователь инфраструктуры","Владелец инфраструктуры"))</f>
        <v/>
      </c>
      <c r="H46" s="10"/>
      <c r="I46" s="10"/>
    </row>
    <row r="47">
      <c r="A47" s="11" t="str">
        <f>IF(IFERROR(_xludf.AGGREGATE(15,6,ROW(Измерения!$H$2:$H$202)/((Измерения!$H$2:$H$202="не соответствует")+(Измерения!$H$2:$H$202="недостаточно")),45),"")="","",45)</f>
        <v/>
      </c>
      <c r="B47" s="11" t="str">
        <f>IF(IFERROR(_xludf.AGGREGATE(15,6,ROW(Измерения!$H$2:$H$202)/((Измерения!$H$2:$H$202="не соответствует")+(Измерения!$H$2:$H$202="недостаточно")),45),"")="","",IF(IF(INDEX(Измерения!$J:$J,IFERROR(_xludf.AGGREGATE(15,6,ROW(Измерения!$H$2:$H$202)/((Измерения!$H$2:$H$202="не соответствует")+(Измерения!$H$2:$H$202="недостаточно")),45),""))="Г.2 — достаточность интервалов",1,0)=1,"Е.1 — обусловлено размещением (пользователь)","Е.2 — эксплуатация (владелец)"))</f>
        <v/>
      </c>
      <c r="C47" s="11" t="str">
        <f>IFERROR(INDEX(Измерения!$B:$B,IFERROR(_xludf.AGGREGATE(15,6,ROW(Измерения!$H$2:$H$202)/((Измерения!$H$2:$H$202="не соответствует")+(Измерения!$H$2:$H$202="недостаточно")),45),"")),"")</f>
        <v/>
      </c>
      <c r="D47" s="11" t="str">
        <f>IFERROR(INDEX(Измерения!$A:$A,IFERROR(_xludf.AGGREGATE(15,6,ROW(Измерения!$H$2:$H$202)/((Измерения!$H$2:$H$202="не соответствует")+(Измерения!$H$2:$H$202="недостаточно")),45),"")),"")</f>
        <v/>
      </c>
      <c r="E47" s="11" t="str">
        <f>IF(IFERROR(_xludf.AGGREGATE(15,6,ROW(Измерения!$H$2:$H$202)/((Измерения!$H$2:$H$202="не соответствует")+(Измерения!$H$2:$H$202="недостаточно")),45),"")="","",IF(IF(INDEX(Измерения!$J:$J,IFERROR(_xludf.AGGREGATE(15,6,ROW(Измерения!$H$2:$H$202)/((Измерения!$H$2:$H$202="не соответствует")+(Измерения!$H$2:$H$202="недостаточно")),45),""))="Г.2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7" s="11" t="str">
        <f>IFERROR(INDEX(Измерения!$C:$C,IFERROR(_xludf.AGGREGATE(15,6,ROW(Измерения!$H$2:$H$202)/((Измерения!$H$2:$H$202="не соответствует")+(Измерения!$H$2:$H$202="недостаточно")),45),""))&amp;": "&amp;INDEX(Измерения!$E:$E,IFERROR(_xludf.AGGREGATE(15,6,ROW(Измерения!$H$2:$H$202)/((Измерения!$H$2:$H$202="не соответствует")+(Измерения!$H$2:$H$202="недостаточно")),45),""))&amp;" "&amp;INDEX(Измерения!$F:$F,IFERROR(_xludf.AGGREGATE(15,6,ROW(Измерения!$H$2:$H$202)/((Измерения!$H$2:$H$202="не соответствует")+(Измерения!$H$2:$H$202="недостаточно")),45),""))&amp;" при норме — "&amp;INDEX(Измерения!$G:$G,IFERROR(_xludf.AGGREGATE(15,6,ROW(Измерения!$H$2:$H$202)/((Измерения!$H$2:$H$202="не соответствует")+(Измерения!$H$2:$H$202="недостаточно")),45),"")),"")</f>
        <v/>
      </c>
      <c r="G47" s="11" t="str">
        <f>IF(IFERROR(_xludf.AGGREGATE(15,6,ROW(Измерения!$H$2:$H$202)/((Измерения!$H$2:$H$202="не соответствует")+(Измерения!$H$2:$H$202="недостаточно")),45),"")="","",IF(IF(INDEX(Измерения!$J:$J,IFERROR(_xludf.AGGREGATE(15,6,ROW(Измерения!$H$2:$H$202)/((Измерения!$H$2:$H$202="не соответствует")+(Измерения!$H$2:$H$202="недостаточно")),45),""))="Г.2 — достаточность интервалов",1,0)=1,"Пользователь инфраструктуры","Владелец инфраструктуры"))</f>
        <v/>
      </c>
      <c r="H47" s="10"/>
      <c r="I47" s="10"/>
    </row>
    <row r="48">
      <c r="A48" s="11" t="str">
        <f>IF(IFERROR(_xludf.AGGREGATE(15,6,ROW(Измерения!$H$2:$H$202)/((Измерения!$H$2:$H$202="не соответствует")+(Измерения!$H$2:$H$202="недостаточно")),46),"")="","",46)</f>
        <v/>
      </c>
      <c r="B48" s="11" t="str">
        <f>IF(IFERROR(_xludf.AGGREGATE(15,6,ROW(Измерения!$H$2:$H$202)/((Измерения!$H$2:$H$202="не соответствует")+(Измерения!$H$2:$H$202="недостаточно")),46),"")="","",IF(IF(INDEX(Измерения!$J:$J,IFERROR(_xludf.AGGREGATE(15,6,ROW(Измерения!$H$2:$H$202)/((Измерения!$H$2:$H$202="не соответствует")+(Измерения!$H$2:$H$202="недостаточно")),46),""))="Г.2 — достаточность интервалов",1,0)=1,"Е.1 — обусловлено размещением (пользователь)","Е.2 — эксплуатация (владелец)"))</f>
        <v/>
      </c>
      <c r="C48" s="11" t="str">
        <f>IFERROR(INDEX(Измерения!$B:$B,IFERROR(_xludf.AGGREGATE(15,6,ROW(Измерения!$H$2:$H$202)/((Измерения!$H$2:$H$202="не соответствует")+(Измерения!$H$2:$H$202="недостаточно")),46),"")),"")</f>
        <v/>
      </c>
      <c r="D48" s="11" t="str">
        <f>IFERROR(INDEX(Измерения!$A:$A,IFERROR(_xludf.AGGREGATE(15,6,ROW(Измерения!$H$2:$H$202)/((Измерения!$H$2:$H$202="не соответствует")+(Измерения!$H$2:$H$202="недостаточно")),46),"")),"")</f>
        <v/>
      </c>
      <c r="E48" s="11" t="str">
        <f>IF(IFERROR(_xludf.AGGREGATE(15,6,ROW(Измерения!$H$2:$H$202)/((Измерения!$H$2:$H$202="не соответствует")+(Измерения!$H$2:$H$202="недостаточно")),46),"")="","",IF(IF(INDEX(Измерения!$J:$J,IFERROR(_xludf.AGGREGATE(15,6,ROW(Измерения!$H$2:$H$202)/((Измерения!$H$2:$H$202="не соответствует")+(Измерения!$H$2:$H$202="недостаточно")),46),""))="Г.2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8" s="11" t="str">
        <f>IFERROR(INDEX(Измерения!$C:$C,IFERROR(_xludf.AGGREGATE(15,6,ROW(Измерения!$H$2:$H$202)/((Измерения!$H$2:$H$202="не соответствует")+(Измерения!$H$2:$H$202="недостаточно")),46),""))&amp;": "&amp;INDEX(Измерения!$E:$E,IFERROR(_xludf.AGGREGATE(15,6,ROW(Измерения!$H$2:$H$202)/((Измерения!$H$2:$H$202="не соответствует")+(Измерения!$H$2:$H$202="недостаточно")),46),""))&amp;" "&amp;INDEX(Измерения!$F:$F,IFERROR(_xludf.AGGREGATE(15,6,ROW(Измерения!$H$2:$H$202)/((Измерения!$H$2:$H$202="не соответствует")+(Измерения!$H$2:$H$202="недостаточно")),46),""))&amp;" при норме — "&amp;INDEX(Измерения!$G:$G,IFERROR(_xludf.AGGREGATE(15,6,ROW(Измерения!$H$2:$H$202)/((Измерения!$H$2:$H$202="не соответствует")+(Измерения!$H$2:$H$202="недостаточно")),46),"")),"")</f>
        <v/>
      </c>
      <c r="G48" s="11" t="str">
        <f>IF(IFERROR(_xludf.AGGREGATE(15,6,ROW(Измерения!$H$2:$H$202)/((Измерения!$H$2:$H$202="не соответствует")+(Измерения!$H$2:$H$202="недостаточно")),46),"")="","",IF(IF(INDEX(Измерения!$J:$J,IFERROR(_xludf.AGGREGATE(15,6,ROW(Измерения!$H$2:$H$202)/((Измерения!$H$2:$H$202="не соответствует")+(Измерения!$H$2:$H$202="недостаточно")),46),""))="Г.2 — достаточность интервалов",1,0)=1,"Пользователь инфраструктуры","Владелец инфраструктуры"))</f>
        <v/>
      </c>
      <c r="H48" s="10"/>
      <c r="I48" s="10"/>
    </row>
    <row r="49">
      <c r="A49" s="11" t="str">
        <f>IF(IFERROR(_xludf.AGGREGATE(15,6,ROW(Измерения!$H$2:$H$202)/((Измерения!$H$2:$H$202="не соответствует")+(Измерения!$H$2:$H$202="недостаточно")),47),"")="","",47)</f>
        <v/>
      </c>
      <c r="B49" s="11" t="str">
        <f>IF(IFERROR(_xludf.AGGREGATE(15,6,ROW(Измерения!$H$2:$H$202)/((Измерения!$H$2:$H$202="не соответствует")+(Измерения!$H$2:$H$202="недостаточно")),47),"")="","",IF(IF(INDEX(Измерения!$J:$J,IFERROR(_xludf.AGGREGATE(15,6,ROW(Измерения!$H$2:$H$202)/((Измерения!$H$2:$H$202="не соответствует")+(Измерения!$H$2:$H$202="недостаточно")),47),""))="Г.2 — достаточность интервалов",1,0)=1,"Е.1 — обусловлено размещением (пользователь)","Е.2 — эксплуатация (владелец)"))</f>
        <v/>
      </c>
      <c r="C49" s="11" t="str">
        <f>IFERROR(INDEX(Измерения!$B:$B,IFERROR(_xludf.AGGREGATE(15,6,ROW(Измерения!$H$2:$H$202)/((Измерения!$H$2:$H$202="не соответствует")+(Измерения!$H$2:$H$202="недостаточно")),47),"")),"")</f>
        <v/>
      </c>
      <c r="D49" s="11" t="str">
        <f>IFERROR(INDEX(Измерения!$A:$A,IFERROR(_xludf.AGGREGATE(15,6,ROW(Измерения!$H$2:$H$202)/((Измерения!$H$2:$H$202="не соответствует")+(Измерения!$H$2:$H$202="недостаточно")),47),"")),"")</f>
        <v/>
      </c>
      <c r="E49" s="11" t="str">
        <f>IF(IFERROR(_xludf.AGGREGATE(15,6,ROW(Измерения!$H$2:$H$202)/((Измерения!$H$2:$H$202="не соответствует")+(Измерения!$H$2:$H$202="недостаточно")),47),"")="","",IF(IF(INDEX(Измерения!$J:$J,IFERROR(_xludf.AGGREGATE(15,6,ROW(Измерения!$H$2:$H$202)/((Измерения!$H$2:$H$202="не соответствует")+(Измерения!$H$2:$H$202="недостаточно")),47),""))="Г.2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9" s="11" t="str">
        <f>IFERROR(INDEX(Измерения!$C:$C,IFERROR(_xludf.AGGREGATE(15,6,ROW(Измерения!$H$2:$H$202)/((Измерения!$H$2:$H$202="не соответствует")+(Измерения!$H$2:$H$202="недостаточно")),47),""))&amp;": "&amp;INDEX(Измерения!$E:$E,IFERROR(_xludf.AGGREGATE(15,6,ROW(Измерения!$H$2:$H$202)/((Измерения!$H$2:$H$202="не соответствует")+(Измерения!$H$2:$H$202="недостаточно")),47),""))&amp;" "&amp;INDEX(Измерения!$F:$F,IFERROR(_xludf.AGGREGATE(15,6,ROW(Измерения!$H$2:$H$202)/((Измерения!$H$2:$H$202="не соответствует")+(Измерения!$H$2:$H$202="недостаточно")),47),""))&amp;" при норме — "&amp;INDEX(Измерения!$G:$G,IFERROR(_xludf.AGGREGATE(15,6,ROW(Измерения!$H$2:$H$202)/((Измерения!$H$2:$H$202="не соответствует")+(Измерения!$H$2:$H$202="недостаточно")),47),"")),"")</f>
        <v/>
      </c>
      <c r="G49" s="11" t="str">
        <f>IF(IFERROR(_xludf.AGGREGATE(15,6,ROW(Измерения!$H$2:$H$202)/((Измерения!$H$2:$H$202="не соответствует")+(Измерения!$H$2:$H$202="недостаточно")),47),"")="","",IF(IF(INDEX(Измерения!$J:$J,IFERROR(_xludf.AGGREGATE(15,6,ROW(Измерения!$H$2:$H$202)/((Измерения!$H$2:$H$202="не соответствует")+(Измерения!$H$2:$H$202="недостаточно")),47),""))="Г.2 — достаточность интервалов",1,0)=1,"Пользователь инфраструктуры","Владелец инфраструктуры"))</f>
        <v/>
      </c>
      <c r="H49" s="10"/>
      <c r="I49" s="10"/>
    </row>
    <row r="50">
      <c r="A50" s="11" t="str">
        <f>IF(IFERROR(_xludf.AGGREGATE(15,6,ROW(Измерения!$H$2:$H$202)/((Измерения!$H$2:$H$202="не соответствует")+(Измерения!$H$2:$H$202="недостаточно")),48),"")="","",48)</f>
        <v/>
      </c>
      <c r="B50" s="11" t="str">
        <f>IF(IFERROR(_xludf.AGGREGATE(15,6,ROW(Измерения!$H$2:$H$202)/((Измерения!$H$2:$H$202="не соответствует")+(Измерения!$H$2:$H$202="недостаточно")),48),"")="","",IF(IF(INDEX(Измерения!$J:$J,IFERROR(_xludf.AGGREGATE(15,6,ROW(Измерения!$H$2:$H$202)/((Измерения!$H$2:$H$202="не соответствует")+(Измерения!$H$2:$H$202="недостаточно")),48),""))="Г.2 — достаточность интервалов",1,0)=1,"Е.1 — обусловлено размещением (пользователь)","Е.2 — эксплуатация (владелец)"))</f>
        <v/>
      </c>
      <c r="C50" s="11" t="str">
        <f>IFERROR(INDEX(Измерения!$B:$B,IFERROR(_xludf.AGGREGATE(15,6,ROW(Измерения!$H$2:$H$202)/((Измерения!$H$2:$H$202="не соответствует")+(Измерения!$H$2:$H$202="недостаточно")),48),"")),"")</f>
        <v/>
      </c>
      <c r="D50" s="11" t="str">
        <f>IFERROR(INDEX(Измерения!$A:$A,IFERROR(_xludf.AGGREGATE(15,6,ROW(Измерения!$H$2:$H$202)/((Измерения!$H$2:$H$202="не соответствует")+(Измерения!$H$2:$H$202="недостаточно")),48),"")),"")</f>
        <v/>
      </c>
      <c r="E50" s="11" t="str">
        <f>IF(IFERROR(_xludf.AGGREGATE(15,6,ROW(Измерения!$H$2:$H$202)/((Измерения!$H$2:$H$202="не соответствует")+(Измерения!$H$2:$H$202="недостаточно")),48),"")="","",IF(IF(INDEX(Измерения!$J:$J,IFERROR(_xludf.AGGREGATE(15,6,ROW(Измерения!$H$2:$H$202)/((Измерения!$H$2:$H$202="не соответствует")+(Измерения!$H$2:$H$202="недостаточно")),48),""))="Г.2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0" s="11" t="str">
        <f>IFERROR(INDEX(Измерения!$C:$C,IFERROR(_xludf.AGGREGATE(15,6,ROW(Измерения!$H$2:$H$202)/((Измерения!$H$2:$H$202="не соответствует")+(Измерения!$H$2:$H$202="недостаточно")),48),""))&amp;": "&amp;INDEX(Измерения!$E:$E,IFERROR(_xludf.AGGREGATE(15,6,ROW(Измерения!$H$2:$H$202)/((Измерения!$H$2:$H$202="не соответствует")+(Измерения!$H$2:$H$202="недостаточно")),48),""))&amp;" "&amp;INDEX(Измерения!$F:$F,IFERROR(_xludf.AGGREGATE(15,6,ROW(Измерения!$H$2:$H$202)/((Измерения!$H$2:$H$202="не соответствует")+(Измерения!$H$2:$H$202="недостаточно")),48),""))&amp;" при норме — "&amp;INDEX(Измерения!$G:$G,IFERROR(_xludf.AGGREGATE(15,6,ROW(Измерения!$H$2:$H$202)/((Измерения!$H$2:$H$202="не соответствует")+(Измерения!$H$2:$H$202="недостаточно")),48),"")),"")</f>
        <v/>
      </c>
      <c r="G50" s="11" t="str">
        <f>IF(IFERROR(_xludf.AGGREGATE(15,6,ROW(Измерения!$H$2:$H$202)/((Измерения!$H$2:$H$202="не соответствует")+(Измерения!$H$2:$H$202="недостаточно")),48),"")="","",IF(IF(INDEX(Измерения!$J:$J,IFERROR(_xludf.AGGREGATE(15,6,ROW(Измерения!$H$2:$H$202)/((Измерения!$H$2:$H$202="не соответствует")+(Измерения!$H$2:$H$202="недостаточно")),48),""))="Г.2 — достаточность интервалов",1,0)=1,"Пользователь инфраструктуры","Владелец инфраструктуры"))</f>
        <v/>
      </c>
      <c r="H50" s="10"/>
      <c r="I50" s="10"/>
    </row>
    <row r="51">
      <c r="A51" s="11" t="str">
        <f>IF(IFERROR(_xludf.AGGREGATE(15,6,ROW(Измерения!$H$2:$H$202)/((Измерения!$H$2:$H$202="не соответствует")+(Измерения!$H$2:$H$202="недостаточно")),49),"")="","",49)</f>
        <v/>
      </c>
      <c r="B51" s="11" t="str">
        <f>IF(IFERROR(_xludf.AGGREGATE(15,6,ROW(Измерения!$H$2:$H$202)/((Измерения!$H$2:$H$202="не соответствует")+(Измерения!$H$2:$H$202="недостаточно")),49),"")="","",IF(IF(INDEX(Измерения!$J:$J,IFERROR(_xludf.AGGREGATE(15,6,ROW(Измерения!$H$2:$H$202)/((Измерения!$H$2:$H$202="не соответствует")+(Измерения!$H$2:$H$202="недостаточно")),49),""))="Г.2 — достаточность интервалов",1,0)=1,"Е.1 — обусловлено размещением (пользователь)","Е.2 — эксплуатация (владелец)"))</f>
        <v/>
      </c>
      <c r="C51" s="11" t="str">
        <f>IFERROR(INDEX(Измерения!$B:$B,IFERROR(_xludf.AGGREGATE(15,6,ROW(Измерения!$H$2:$H$202)/((Измерения!$H$2:$H$202="не соответствует")+(Измерения!$H$2:$H$202="недостаточно")),49),"")),"")</f>
        <v/>
      </c>
      <c r="D51" s="11" t="str">
        <f>IFERROR(INDEX(Измерения!$A:$A,IFERROR(_xludf.AGGREGATE(15,6,ROW(Измерения!$H$2:$H$202)/((Измерения!$H$2:$H$202="не соответствует")+(Измерения!$H$2:$H$202="недостаточно")),49),"")),"")</f>
        <v/>
      </c>
      <c r="E51" s="11" t="str">
        <f>IF(IFERROR(_xludf.AGGREGATE(15,6,ROW(Измерения!$H$2:$H$202)/((Измерения!$H$2:$H$202="не соответствует")+(Измерения!$H$2:$H$202="недостаточно")),49),"")="","",IF(IF(INDEX(Измерения!$J:$J,IFERROR(_xludf.AGGREGATE(15,6,ROW(Измерения!$H$2:$H$202)/((Измерения!$H$2:$H$202="не соответствует")+(Измерения!$H$2:$H$202="недостаточно")),49),""))="Г.2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1" s="11" t="str">
        <f>IFERROR(INDEX(Измерения!$C:$C,IFERROR(_xludf.AGGREGATE(15,6,ROW(Измерения!$H$2:$H$202)/((Измерения!$H$2:$H$202="не соответствует")+(Измерения!$H$2:$H$202="недостаточно")),49),""))&amp;": "&amp;INDEX(Измерения!$E:$E,IFERROR(_xludf.AGGREGATE(15,6,ROW(Измерения!$H$2:$H$202)/((Измерения!$H$2:$H$202="не соответствует")+(Измерения!$H$2:$H$202="недостаточно")),49),""))&amp;" "&amp;INDEX(Измерения!$F:$F,IFERROR(_xludf.AGGREGATE(15,6,ROW(Измерения!$H$2:$H$202)/((Измерения!$H$2:$H$202="не соответствует")+(Измерения!$H$2:$H$202="недостаточно")),49),""))&amp;" при норме — "&amp;INDEX(Измерения!$G:$G,IFERROR(_xludf.AGGREGATE(15,6,ROW(Измерения!$H$2:$H$202)/((Измерения!$H$2:$H$202="не соответствует")+(Измерения!$H$2:$H$202="недостаточно")),49),"")),"")</f>
        <v/>
      </c>
      <c r="G51" s="11" t="str">
        <f>IF(IFERROR(_xludf.AGGREGATE(15,6,ROW(Измерения!$H$2:$H$202)/((Измерения!$H$2:$H$202="не соответствует")+(Измерения!$H$2:$H$202="недостаточно")),49),"")="","",IF(IF(INDEX(Измерения!$J:$J,IFERROR(_xludf.AGGREGATE(15,6,ROW(Измерения!$H$2:$H$202)/((Измерения!$H$2:$H$202="не соответствует")+(Измерения!$H$2:$H$202="недостаточно")),49),""))="Г.2 — достаточность интервалов",1,0)=1,"Пользователь инфраструктуры","Владелец инфраструктуры"))</f>
        <v/>
      </c>
      <c r="H51" s="10"/>
      <c r="I51" s="10"/>
    </row>
    <row r="52">
      <c r="A52" s="11" t="str">
        <f>IF(IFERROR(_xludf.AGGREGATE(15,6,ROW(Измерения!$H$2:$H$202)/((Измерения!$H$2:$H$202="не соответствует")+(Измерения!$H$2:$H$202="недостаточно")),50),"")="","",50)</f>
        <v/>
      </c>
      <c r="B52" s="11" t="str">
        <f>IF(IFERROR(_xludf.AGGREGATE(15,6,ROW(Измерения!$H$2:$H$202)/((Измерения!$H$2:$H$202="не соответствует")+(Измерения!$H$2:$H$202="недостаточно")),50),"")="","",IF(IF(INDEX(Измерения!$J:$J,IFERROR(_xludf.AGGREGATE(15,6,ROW(Измерения!$H$2:$H$202)/((Измерения!$H$2:$H$202="не соответствует")+(Измерения!$H$2:$H$202="недостаточно")),50),""))="Г.2 — достаточность интервалов",1,0)=1,"Е.1 — обусловлено размещением (пользователь)","Е.2 — эксплуатация (владелец)"))</f>
        <v/>
      </c>
      <c r="C52" s="11" t="str">
        <f>IFERROR(INDEX(Измерения!$B:$B,IFERROR(_xludf.AGGREGATE(15,6,ROW(Измерения!$H$2:$H$202)/((Измерения!$H$2:$H$202="не соответствует")+(Измерения!$H$2:$H$202="недостаточно")),50),"")),"")</f>
        <v/>
      </c>
      <c r="D52" s="11" t="str">
        <f>IFERROR(INDEX(Измерения!$A:$A,IFERROR(_xludf.AGGREGATE(15,6,ROW(Измерения!$H$2:$H$202)/((Измерения!$H$2:$H$202="не соответствует")+(Измерения!$H$2:$H$202="недостаточно")),50),"")),"")</f>
        <v/>
      </c>
      <c r="E52" s="11" t="str">
        <f>IF(IFERROR(_xludf.AGGREGATE(15,6,ROW(Измерения!$H$2:$H$202)/((Измерения!$H$2:$H$202="не соответствует")+(Измерения!$H$2:$H$202="недостаточно")),50),"")="","",IF(IF(INDEX(Измерения!$J:$J,IFERROR(_xludf.AGGREGATE(15,6,ROW(Измерения!$H$2:$H$202)/((Измерения!$H$2:$H$202="не соответствует")+(Измерения!$H$2:$H$202="недостаточно")),50),""))="Г.2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2" s="11" t="str">
        <f>IFERROR(INDEX(Измерения!$C:$C,IFERROR(_xludf.AGGREGATE(15,6,ROW(Измерения!$H$2:$H$202)/((Измерения!$H$2:$H$202="не соответствует")+(Измерения!$H$2:$H$202="недостаточно")),50),""))&amp;": "&amp;INDEX(Измерения!$E:$E,IFERROR(_xludf.AGGREGATE(15,6,ROW(Измерения!$H$2:$H$202)/((Измерения!$H$2:$H$202="не соответствует")+(Измерения!$H$2:$H$202="недостаточно")),50),""))&amp;" "&amp;INDEX(Измерения!$F:$F,IFERROR(_xludf.AGGREGATE(15,6,ROW(Измерения!$H$2:$H$202)/((Измерения!$H$2:$H$202="не соответствует")+(Измерения!$H$2:$H$202="недостаточно")),50),""))&amp;" при норме — "&amp;INDEX(Измерения!$G:$G,IFERROR(_xludf.AGGREGATE(15,6,ROW(Измерения!$H$2:$H$202)/((Измерения!$H$2:$H$202="не соответствует")+(Измерения!$H$2:$H$202="недостаточно")),50),"")),"")</f>
        <v/>
      </c>
      <c r="G52" s="11" t="str">
        <f>IF(IFERROR(_xludf.AGGREGATE(15,6,ROW(Измерения!$H$2:$H$202)/((Измерения!$H$2:$H$202="не соответствует")+(Измерения!$H$2:$H$202="недостаточно")),50),"")="","",IF(IF(INDEX(Измерения!$J:$J,IFERROR(_xludf.AGGREGATE(15,6,ROW(Измерения!$H$2:$H$202)/((Измерения!$H$2:$H$202="не соответствует")+(Измерения!$H$2:$H$202="недостаточно")),50),""))="Г.2 — достаточность интервалов",1,0)=1,"Пользователь инфраструктуры","Владелец инфраструктуры"))</f>
        <v/>
      </c>
      <c r="H52" s="10"/>
      <c r="I52" s="10"/>
    </row>
    <row r="53">
      <c r="A53" s="11" t="str">
        <f>IF(IFERROR(_xludf.AGGREGATE(15,6,ROW(Измерения!$H$2:$H$202)/((Измерения!$H$2:$H$202="не соответствует")+(Измерения!$H$2:$H$202="недостаточно")),51),"")="","",51)</f>
        <v/>
      </c>
      <c r="B53" s="11" t="str">
        <f>IF(IFERROR(_xludf.AGGREGATE(15,6,ROW(Измерения!$H$2:$H$202)/((Измерения!$H$2:$H$202="не соответствует")+(Измерения!$H$2:$H$202="недостаточно")),51),"")="","",IF(IF(INDEX(Измерения!$J:$J,IFERROR(_xludf.AGGREGATE(15,6,ROW(Измерения!$H$2:$H$202)/((Измерения!$H$2:$H$202="не соответствует")+(Измерения!$H$2:$H$202="недостаточно")),51),""))="Г.2 — достаточность интервалов",1,0)=1,"Е.1 — обусловлено размещением (пользователь)","Е.2 — эксплуатация (владелец)"))</f>
        <v/>
      </c>
      <c r="C53" s="11" t="str">
        <f>IFERROR(INDEX(Измерения!$B:$B,IFERROR(_xludf.AGGREGATE(15,6,ROW(Измерения!$H$2:$H$202)/((Измерения!$H$2:$H$202="не соответствует")+(Измерения!$H$2:$H$202="недостаточно")),51),"")),"")</f>
        <v/>
      </c>
      <c r="D53" s="11" t="str">
        <f>IFERROR(INDEX(Измерения!$A:$A,IFERROR(_xludf.AGGREGATE(15,6,ROW(Измерения!$H$2:$H$202)/((Измерения!$H$2:$H$202="не соответствует")+(Измерения!$H$2:$H$202="недостаточно")),51),"")),"")</f>
        <v/>
      </c>
      <c r="E53" s="11" t="str">
        <f>IF(IFERROR(_xludf.AGGREGATE(15,6,ROW(Измерения!$H$2:$H$202)/((Измерения!$H$2:$H$202="не соответствует")+(Измерения!$H$2:$H$202="недостаточно")),51),"")="","",IF(IF(INDEX(Измерения!$J:$J,IFERROR(_xludf.AGGREGATE(15,6,ROW(Измерения!$H$2:$H$202)/((Измерения!$H$2:$H$202="не соответствует")+(Измерения!$H$2:$H$202="недостаточно")),51),""))="Г.2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3" s="11" t="str">
        <f>IFERROR(INDEX(Измерения!$C:$C,IFERROR(_xludf.AGGREGATE(15,6,ROW(Измерения!$H$2:$H$202)/((Измерения!$H$2:$H$202="не соответствует")+(Измерения!$H$2:$H$202="недостаточно")),51),""))&amp;": "&amp;INDEX(Измерения!$E:$E,IFERROR(_xludf.AGGREGATE(15,6,ROW(Измерения!$H$2:$H$202)/((Измерения!$H$2:$H$202="не соответствует")+(Измерения!$H$2:$H$202="недостаточно")),51),""))&amp;" "&amp;INDEX(Измерения!$F:$F,IFERROR(_xludf.AGGREGATE(15,6,ROW(Измерения!$H$2:$H$202)/((Измерения!$H$2:$H$202="не соответствует")+(Измерения!$H$2:$H$202="недостаточно")),51),""))&amp;" при норме — "&amp;INDEX(Измерения!$G:$G,IFERROR(_xludf.AGGREGATE(15,6,ROW(Измерения!$H$2:$H$202)/((Измерения!$H$2:$H$202="не соответствует")+(Измерения!$H$2:$H$202="недостаточно")),51),"")),"")</f>
        <v/>
      </c>
      <c r="G53" s="11" t="str">
        <f>IF(IFERROR(_xludf.AGGREGATE(15,6,ROW(Измерения!$H$2:$H$202)/((Измерения!$H$2:$H$202="не соответствует")+(Измерения!$H$2:$H$202="недостаточно")),51),"")="","",IF(IF(INDEX(Измерения!$J:$J,IFERROR(_xludf.AGGREGATE(15,6,ROW(Измерения!$H$2:$H$202)/((Измерения!$H$2:$H$202="не соответствует")+(Измерения!$H$2:$H$202="недостаточно")),51),""))="Г.2 — достаточность интервалов",1,0)=1,"Пользователь инфраструктуры","Владелец инфраструктуры"))</f>
        <v/>
      </c>
      <c r="H53" s="10"/>
      <c r="I53" s="10"/>
    </row>
    <row r="54">
      <c r="A54" s="11" t="str">
        <f>IF(IFERROR(_xludf.AGGREGATE(15,6,ROW(Измерения!$H$2:$H$202)/((Измерения!$H$2:$H$202="не соответствует")+(Измерения!$H$2:$H$202="недостаточно")),52),"")="","",52)</f>
        <v/>
      </c>
      <c r="B54" s="11" t="str">
        <f>IF(IFERROR(_xludf.AGGREGATE(15,6,ROW(Измерения!$H$2:$H$202)/((Измерения!$H$2:$H$202="не соответствует")+(Измерения!$H$2:$H$202="недостаточно")),52),"")="","",IF(IF(INDEX(Измерения!$J:$J,IFERROR(_xludf.AGGREGATE(15,6,ROW(Измерения!$H$2:$H$202)/((Измерения!$H$2:$H$202="не соответствует")+(Измерения!$H$2:$H$202="недостаточно")),52),""))="Г.2 — достаточность интервалов",1,0)=1,"Е.1 — обусловлено размещением (пользователь)","Е.2 — эксплуатация (владелец)"))</f>
        <v/>
      </c>
      <c r="C54" s="11" t="str">
        <f>IFERROR(INDEX(Измерения!$B:$B,IFERROR(_xludf.AGGREGATE(15,6,ROW(Измерения!$H$2:$H$202)/((Измерения!$H$2:$H$202="не соответствует")+(Измерения!$H$2:$H$202="недостаточно")),52),"")),"")</f>
        <v/>
      </c>
      <c r="D54" s="11" t="str">
        <f>IFERROR(INDEX(Измерения!$A:$A,IFERROR(_xludf.AGGREGATE(15,6,ROW(Измерения!$H$2:$H$202)/((Измерения!$H$2:$H$202="не соответствует")+(Измерения!$H$2:$H$202="недостаточно")),52),"")),"")</f>
        <v/>
      </c>
      <c r="E54" s="11" t="str">
        <f>IF(IFERROR(_xludf.AGGREGATE(15,6,ROW(Измерения!$H$2:$H$202)/((Измерения!$H$2:$H$202="не соответствует")+(Измерения!$H$2:$H$202="недостаточно")),52),"")="","",IF(IF(INDEX(Измерения!$J:$J,IFERROR(_xludf.AGGREGATE(15,6,ROW(Измерения!$H$2:$H$202)/((Измерения!$H$2:$H$202="не соответствует")+(Измерения!$H$2:$H$202="недостаточно")),52),""))="Г.2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4" s="11" t="str">
        <f>IFERROR(INDEX(Измерения!$C:$C,IFERROR(_xludf.AGGREGATE(15,6,ROW(Измерения!$H$2:$H$202)/((Измерения!$H$2:$H$202="не соответствует")+(Измерения!$H$2:$H$202="недостаточно")),52),""))&amp;": "&amp;INDEX(Измерения!$E:$E,IFERROR(_xludf.AGGREGATE(15,6,ROW(Измерения!$H$2:$H$202)/((Измерения!$H$2:$H$202="не соответствует")+(Измерения!$H$2:$H$202="недостаточно")),52),""))&amp;" "&amp;INDEX(Измерения!$F:$F,IFERROR(_xludf.AGGREGATE(15,6,ROW(Измерения!$H$2:$H$202)/((Измерения!$H$2:$H$202="не соответствует")+(Измерения!$H$2:$H$202="недостаточно")),52),""))&amp;" при норме — "&amp;INDEX(Измерения!$G:$G,IFERROR(_xludf.AGGREGATE(15,6,ROW(Измерения!$H$2:$H$202)/((Измерения!$H$2:$H$202="не соответствует")+(Измерения!$H$2:$H$202="недостаточно")),52),"")),"")</f>
        <v/>
      </c>
      <c r="G54" s="11" t="str">
        <f>IF(IFERROR(_xludf.AGGREGATE(15,6,ROW(Измерения!$H$2:$H$202)/((Измерения!$H$2:$H$202="не соответствует")+(Измерения!$H$2:$H$202="недостаточно")),52),"")="","",IF(IF(INDEX(Измерения!$J:$J,IFERROR(_xludf.AGGREGATE(15,6,ROW(Измерения!$H$2:$H$202)/((Измерения!$H$2:$H$202="не соответствует")+(Измерения!$H$2:$H$202="недостаточно")),52),""))="Г.2 — достаточность интервалов",1,0)=1,"Пользователь инфраструктуры","Владелец инфраструктуры"))</f>
        <v/>
      </c>
      <c r="H54" s="10"/>
      <c r="I54" s="10"/>
    </row>
    <row r="55">
      <c r="A55" s="11" t="str">
        <f>IF(IFERROR(_xludf.AGGREGATE(15,6,ROW(Измерения!$H$2:$H$202)/((Измерения!$H$2:$H$202="не соответствует")+(Измерения!$H$2:$H$202="недостаточно")),53),"")="","",53)</f>
        <v/>
      </c>
      <c r="B55" s="11" t="str">
        <f>IF(IFERROR(_xludf.AGGREGATE(15,6,ROW(Измерения!$H$2:$H$202)/((Измерения!$H$2:$H$202="не соответствует")+(Измерения!$H$2:$H$202="недостаточно")),53),"")="","",IF(IF(INDEX(Измерения!$J:$J,IFERROR(_xludf.AGGREGATE(15,6,ROW(Измерения!$H$2:$H$202)/((Измерения!$H$2:$H$202="не соответствует")+(Измерения!$H$2:$H$202="недостаточно")),53),""))="Г.2 — достаточность интервалов",1,0)=1,"Е.1 — обусловлено размещением (пользователь)","Е.2 — эксплуатация (владелец)"))</f>
        <v/>
      </c>
      <c r="C55" s="11" t="str">
        <f>IFERROR(INDEX(Измерения!$B:$B,IFERROR(_xludf.AGGREGATE(15,6,ROW(Измерения!$H$2:$H$202)/((Измерения!$H$2:$H$202="не соответствует")+(Измерения!$H$2:$H$202="недостаточно")),53),"")),"")</f>
        <v/>
      </c>
      <c r="D55" s="11" t="str">
        <f>IFERROR(INDEX(Измерения!$A:$A,IFERROR(_xludf.AGGREGATE(15,6,ROW(Измерения!$H$2:$H$202)/((Измерения!$H$2:$H$202="не соответствует")+(Измерения!$H$2:$H$202="недостаточно")),53),"")),"")</f>
        <v/>
      </c>
      <c r="E55" s="11" t="str">
        <f>IF(IFERROR(_xludf.AGGREGATE(15,6,ROW(Измерения!$H$2:$H$202)/((Измерения!$H$2:$H$202="не соответствует")+(Измерения!$H$2:$H$202="недостаточно")),53),"")="","",IF(IF(INDEX(Измерения!$J:$J,IFERROR(_xludf.AGGREGATE(15,6,ROW(Измерения!$H$2:$H$202)/((Измерения!$H$2:$H$202="не соответствует")+(Измерения!$H$2:$H$202="недостаточно")),53),""))="Г.2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5" s="11" t="str">
        <f>IFERROR(INDEX(Измерения!$C:$C,IFERROR(_xludf.AGGREGATE(15,6,ROW(Измерения!$H$2:$H$202)/((Измерения!$H$2:$H$202="не соответствует")+(Измерения!$H$2:$H$202="недостаточно")),53),""))&amp;": "&amp;INDEX(Измерения!$E:$E,IFERROR(_xludf.AGGREGATE(15,6,ROW(Измерения!$H$2:$H$202)/((Измерения!$H$2:$H$202="не соответствует")+(Измерения!$H$2:$H$202="недостаточно")),53),""))&amp;" "&amp;INDEX(Измерения!$F:$F,IFERROR(_xludf.AGGREGATE(15,6,ROW(Измерения!$H$2:$H$202)/((Измерения!$H$2:$H$202="не соответствует")+(Измерения!$H$2:$H$202="недостаточно")),53),""))&amp;" при норме — "&amp;INDEX(Измерения!$G:$G,IFERROR(_xludf.AGGREGATE(15,6,ROW(Измерения!$H$2:$H$202)/((Измерения!$H$2:$H$202="не соответствует")+(Измерения!$H$2:$H$202="недостаточно")),53),"")),"")</f>
        <v/>
      </c>
      <c r="G55" s="11" t="str">
        <f>IF(IFERROR(_xludf.AGGREGATE(15,6,ROW(Измерения!$H$2:$H$202)/((Измерения!$H$2:$H$202="не соответствует")+(Измерения!$H$2:$H$202="недостаточно")),53),"")="","",IF(IF(INDEX(Измерения!$J:$J,IFERROR(_xludf.AGGREGATE(15,6,ROW(Измерения!$H$2:$H$202)/((Измерения!$H$2:$H$202="не соответствует")+(Измерения!$H$2:$H$202="недостаточно")),53),""))="Г.2 — достаточность интервалов",1,0)=1,"Пользователь инфраструктуры","Владелец инфраструктуры"))</f>
        <v/>
      </c>
      <c r="H55" s="10"/>
      <c r="I55" s="10"/>
    </row>
    <row r="56">
      <c r="A56" s="11" t="str">
        <f>IF(IFERROR(_xludf.AGGREGATE(15,6,ROW(Измерения!$H$2:$H$202)/((Измерения!$H$2:$H$202="не соответствует")+(Измерения!$H$2:$H$202="недостаточно")),54),"")="","",54)</f>
        <v/>
      </c>
      <c r="B56" s="11" t="str">
        <f>IF(IFERROR(_xludf.AGGREGATE(15,6,ROW(Измерения!$H$2:$H$202)/((Измерения!$H$2:$H$202="не соответствует")+(Измерения!$H$2:$H$202="недостаточно")),54),"")="","",IF(IF(INDEX(Измерения!$J:$J,IFERROR(_xludf.AGGREGATE(15,6,ROW(Измерения!$H$2:$H$202)/((Измерения!$H$2:$H$202="не соответствует")+(Измерения!$H$2:$H$202="недостаточно")),54),""))="Г.2 — достаточность интервалов",1,0)=1,"Е.1 — обусловлено размещением (пользователь)","Е.2 — эксплуатация (владелец)"))</f>
        <v/>
      </c>
      <c r="C56" s="11" t="str">
        <f>IFERROR(INDEX(Измерения!$B:$B,IFERROR(_xludf.AGGREGATE(15,6,ROW(Измерения!$H$2:$H$202)/((Измерения!$H$2:$H$202="не соответствует")+(Измерения!$H$2:$H$202="недостаточно")),54),"")),"")</f>
        <v/>
      </c>
      <c r="D56" s="11" t="str">
        <f>IFERROR(INDEX(Измерения!$A:$A,IFERROR(_xludf.AGGREGATE(15,6,ROW(Измерения!$H$2:$H$202)/((Измерения!$H$2:$H$202="не соответствует")+(Измерения!$H$2:$H$202="недостаточно")),54),"")),"")</f>
        <v/>
      </c>
      <c r="E56" s="11" t="str">
        <f>IF(IFERROR(_xludf.AGGREGATE(15,6,ROW(Измерения!$H$2:$H$202)/((Измерения!$H$2:$H$202="не соответствует")+(Измерения!$H$2:$H$202="недостаточно")),54),"")="","",IF(IF(INDEX(Измерения!$J:$J,IFERROR(_xludf.AGGREGATE(15,6,ROW(Измерения!$H$2:$H$202)/((Измерения!$H$2:$H$202="не соответствует")+(Измерения!$H$2:$H$202="недостаточно")),54),""))="Г.2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6" s="11" t="str">
        <f>IFERROR(INDEX(Измерения!$C:$C,IFERROR(_xludf.AGGREGATE(15,6,ROW(Измерения!$H$2:$H$202)/((Измерения!$H$2:$H$202="не соответствует")+(Измерения!$H$2:$H$202="недостаточно")),54),""))&amp;": "&amp;INDEX(Измерения!$E:$E,IFERROR(_xludf.AGGREGATE(15,6,ROW(Измерения!$H$2:$H$202)/((Измерения!$H$2:$H$202="не соответствует")+(Измерения!$H$2:$H$202="недостаточно")),54),""))&amp;" "&amp;INDEX(Измерения!$F:$F,IFERROR(_xludf.AGGREGATE(15,6,ROW(Измерения!$H$2:$H$202)/((Измерения!$H$2:$H$202="не соответствует")+(Измерения!$H$2:$H$202="недостаточно")),54),""))&amp;" при норме — "&amp;INDEX(Измерения!$G:$G,IFERROR(_xludf.AGGREGATE(15,6,ROW(Измерения!$H$2:$H$202)/((Измерения!$H$2:$H$202="не соответствует")+(Измерения!$H$2:$H$202="недостаточно")),54),"")),"")</f>
        <v/>
      </c>
      <c r="G56" s="11" t="str">
        <f>IF(IFERROR(_xludf.AGGREGATE(15,6,ROW(Измерения!$H$2:$H$202)/((Измерения!$H$2:$H$202="не соответствует")+(Измерения!$H$2:$H$202="недостаточно")),54),"")="","",IF(IF(INDEX(Измерения!$J:$J,IFERROR(_xludf.AGGREGATE(15,6,ROW(Измерения!$H$2:$H$202)/((Измерения!$H$2:$H$202="не соответствует")+(Измерения!$H$2:$H$202="недостаточно")),54),""))="Г.2 — достаточность интервалов",1,0)=1,"Пользователь инфраструктуры","Владелец инфраструктуры"))</f>
        <v/>
      </c>
      <c r="H56" s="10"/>
      <c r="I56" s="10"/>
    </row>
    <row r="57">
      <c r="A57" s="11" t="str">
        <f>IF(IFERROR(_xludf.AGGREGATE(15,6,ROW(Измерения!$H$2:$H$202)/((Измерения!$H$2:$H$202="не соответствует")+(Измерения!$H$2:$H$202="недостаточно")),55),"")="","",55)</f>
        <v/>
      </c>
      <c r="B57" s="11" t="str">
        <f>IF(IFERROR(_xludf.AGGREGATE(15,6,ROW(Измерения!$H$2:$H$202)/((Измерения!$H$2:$H$202="не соответствует")+(Измерения!$H$2:$H$202="недостаточно")),55),"")="","",IF(IF(INDEX(Измерения!$J:$J,IFERROR(_xludf.AGGREGATE(15,6,ROW(Измерения!$H$2:$H$202)/((Измерения!$H$2:$H$202="не соответствует")+(Измерения!$H$2:$H$202="недостаточно")),55),""))="Г.2 — достаточность интервалов",1,0)=1,"Е.1 — обусловлено размещением (пользователь)","Е.2 — эксплуатация (владелец)"))</f>
        <v/>
      </c>
      <c r="C57" s="11" t="str">
        <f>IFERROR(INDEX(Измерения!$B:$B,IFERROR(_xludf.AGGREGATE(15,6,ROW(Измерения!$H$2:$H$202)/((Измерения!$H$2:$H$202="не соответствует")+(Измерения!$H$2:$H$202="недостаточно")),55),"")),"")</f>
        <v/>
      </c>
      <c r="D57" s="11" t="str">
        <f>IFERROR(INDEX(Измерения!$A:$A,IFERROR(_xludf.AGGREGATE(15,6,ROW(Измерения!$H$2:$H$202)/((Измерения!$H$2:$H$202="не соответствует")+(Измерения!$H$2:$H$202="недостаточно")),55),"")),"")</f>
        <v/>
      </c>
      <c r="E57" s="11" t="str">
        <f>IF(IFERROR(_xludf.AGGREGATE(15,6,ROW(Измерения!$H$2:$H$202)/((Измерения!$H$2:$H$202="не соответствует")+(Измерения!$H$2:$H$202="недостаточно")),55),"")="","",IF(IF(INDEX(Измерения!$J:$J,IFERROR(_xludf.AGGREGATE(15,6,ROW(Измерения!$H$2:$H$202)/((Измерения!$H$2:$H$202="не соответствует")+(Измерения!$H$2:$H$202="недостаточно")),55),""))="Г.2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7" s="11" t="str">
        <f>IFERROR(INDEX(Измерения!$C:$C,IFERROR(_xludf.AGGREGATE(15,6,ROW(Измерения!$H$2:$H$202)/((Измерения!$H$2:$H$202="не соответствует")+(Измерения!$H$2:$H$202="недостаточно")),55),""))&amp;": "&amp;INDEX(Измерения!$E:$E,IFERROR(_xludf.AGGREGATE(15,6,ROW(Измерения!$H$2:$H$202)/((Измерения!$H$2:$H$202="не соответствует")+(Измерения!$H$2:$H$202="недостаточно")),55),""))&amp;" "&amp;INDEX(Измерения!$F:$F,IFERROR(_xludf.AGGREGATE(15,6,ROW(Измерения!$H$2:$H$202)/((Измерения!$H$2:$H$202="не соответствует")+(Измерения!$H$2:$H$202="недостаточно")),55),""))&amp;" при норме — "&amp;INDEX(Измерения!$G:$G,IFERROR(_xludf.AGGREGATE(15,6,ROW(Измерения!$H$2:$H$202)/((Измерения!$H$2:$H$202="не соответствует")+(Измерения!$H$2:$H$202="недостаточно")),55),"")),"")</f>
        <v/>
      </c>
      <c r="G57" s="11" t="str">
        <f>IF(IFERROR(_xludf.AGGREGATE(15,6,ROW(Измерения!$H$2:$H$202)/((Измерения!$H$2:$H$202="не соответствует")+(Измерения!$H$2:$H$202="недостаточно")),55),"")="","",IF(IF(INDEX(Измерения!$J:$J,IFERROR(_xludf.AGGREGATE(15,6,ROW(Измерения!$H$2:$H$202)/((Измерения!$H$2:$H$202="не соответствует")+(Измерения!$H$2:$H$202="недостаточно")),55),""))="Г.2 — достаточность интервалов",1,0)=1,"Пользователь инфраструктуры","Владелец инфраструктуры"))</f>
        <v/>
      </c>
      <c r="H57" s="10"/>
      <c r="I57" s="10"/>
    </row>
    <row r="58">
      <c r="A58" s="11" t="str">
        <f>IF(IFERROR(_xludf.AGGREGATE(15,6,ROW(Измерения!$H$2:$H$202)/((Измерения!$H$2:$H$202="не соответствует")+(Измерения!$H$2:$H$202="недостаточно")),56),"")="","",56)</f>
        <v/>
      </c>
      <c r="B58" s="11" t="str">
        <f>IF(IFERROR(_xludf.AGGREGATE(15,6,ROW(Измерения!$H$2:$H$202)/((Измерения!$H$2:$H$202="не соответствует")+(Измерения!$H$2:$H$202="недостаточно")),56),"")="","",IF(IF(INDEX(Измерения!$J:$J,IFERROR(_xludf.AGGREGATE(15,6,ROW(Измерения!$H$2:$H$202)/((Измерения!$H$2:$H$202="не соответствует")+(Измерения!$H$2:$H$202="недостаточно")),56),""))="Г.2 — достаточность интервалов",1,0)=1,"Е.1 — обусловлено размещением (пользователь)","Е.2 — эксплуатация (владелец)"))</f>
        <v/>
      </c>
      <c r="C58" s="11" t="str">
        <f>IFERROR(INDEX(Измерения!$B:$B,IFERROR(_xludf.AGGREGATE(15,6,ROW(Измерения!$H$2:$H$202)/((Измерения!$H$2:$H$202="не соответствует")+(Измерения!$H$2:$H$202="недостаточно")),56),"")),"")</f>
        <v/>
      </c>
      <c r="D58" s="11" t="str">
        <f>IFERROR(INDEX(Измерения!$A:$A,IFERROR(_xludf.AGGREGATE(15,6,ROW(Измерения!$H$2:$H$202)/((Измерения!$H$2:$H$202="не соответствует")+(Измерения!$H$2:$H$202="недостаточно")),56),"")),"")</f>
        <v/>
      </c>
      <c r="E58" s="11" t="str">
        <f>IF(IFERROR(_xludf.AGGREGATE(15,6,ROW(Измерения!$H$2:$H$202)/((Измерения!$H$2:$H$202="не соответствует")+(Измерения!$H$2:$H$202="недостаточно")),56),"")="","",IF(IF(INDEX(Измерения!$J:$J,IFERROR(_xludf.AGGREGATE(15,6,ROW(Измерения!$H$2:$H$202)/((Измерения!$H$2:$H$202="не соответствует")+(Измерения!$H$2:$H$202="недостаточно")),56),""))="Г.2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8" s="11" t="str">
        <f>IFERROR(INDEX(Измерения!$C:$C,IFERROR(_xludf.AGGREGATE(15,6,ROW(Измерения!$H$2:$H$202)/((Измерения!$H$2:$H$202="не соответствует")+(Измерения!$H$2:$H$202="недостаточно")),56),""))&amp;": "&amp;INDEX(Измерения!$E:$E,IFERROR(_xludf.AGGREGATE(15,6,ROW(Измерения!$H$2:$H$202)/((Измерения!$H$2:$H$202="не соответствует")+(Измерения!$H$2:$H$202="недостаточно")),56),""))&amp;" "&amp;INDEX(Измерения!$F:$F,IFERROR(_xludf.AGGREGATE(15,6,ROW(Измерения!$H$2:$H$202)/((Измерения!$H$2:$H$202="не соответствует")+(Измерения!$H$2:$H$202="недостаточно")),56),""))&amp;" при норме — "&amp;INDEX(Измерения!$G:$G,IFERROR(_xludf.AGGREGATE(15,6,ROW(Измерения!$H$2:$H$202)/((Измерения!$H$2:$H$202="не соответствует")+(Измерения!$H$2:$H$202="недостаточно")),56),"")),"")</f>
        <v/>
      </c>
      <c r="G58" s="11" t="str">
        <f>IF(IFERROR(_xludf.AGGREGATE(15,6,ROW(Измерения!$H$2:$H$202)/((Измерения!$H$2:$H$202="не соответствует")+(Измерения!$H$2:$H$202="недостаточно")),56),"")="","",IF(IF(INDEX(Измерения!$J:$J,IFERROR(_xludf.AGGREGATE(15,6,ROW(Измерения!$H$2:$H$202)/((Измерения!$H$2:$H$202="не соответствует")+(Измерения!$H$2:$H$202="недостаточно")),56),""))="Г.2 — достаточность интервалов",1,0)=1,"Пользователь инфраструктуры","Владелец инфраструктуры"))</f>
        <v/>
      </c>
      <c r="H58" s="10"/>
      <c r="I58" s="10"/>
    </row>
    <row r="59">
      <c r="A59" s="11" t="str">
        <f>IF(IFERROR(_xludf.AGGREGATE(15,6,ROW(Измерения!$H$2:$H$202)/((Измерения!$H$2:$H$202="не соответствует")+(Измерения!$H$2:$H$202="недостаточно")),57),"")="","",57)</f>
        <v/>
      </c>
      <c r="B59" s="11" t="str">
        <f>IF(IFERROR(_xludf.AGGREGATE(15,6,ROW(Измерения!$H$2:$H$202)/((Измерения!$H$2:$H$202="не соответствует")+(Измерения!$H$2:$H$202="недостаточно")),57),"")="","",IF(IF(INDEX(Измерения!$J:$J,IFERROR(_xludf.AGGREGATE(15,6,ROW(Измерения!$H$2:$H$202)/((Измерения!$H$2:$H$202="не соответствует")+(Измерения!$H$2:$H$202="недостаточно")),57),""))="Г.2 — достаточность интервалов",1,0)=1,"Е.1 — обусловлено размещением (пользователь)","Е.2 — эксплуатация (владелец)"))</f>
        <v/>
      </c>
      <c r="C59" s="11" t="str">
        <f>IFERROR(INDEX(Измерения!$B:$B,IFERROR(_xludf.AGGREGATE(15,6,ROW(Измерения!$H$2:$H$202)/((Измерения!$H$2:$H$202="не соответствует")+(Измерения!$H$2:$H$202="недостаточно")),57),"")),"")</f>
        <v/>
      </c>
      <c r="D59" s="11" t="str">
        <f>IFERROR(INDEX(Измерения!$A:$A,IFERROR(_xludf.AGGREGATE(15,6,ROW(Измерения!$H$2:$H$202)/((Измерения!$H$2:$H$202="не соответствует")+(Измерения!$H$2:$H$202="недостаточно")),57),"")),"")</f>
        <v/>
      </c>
      <c r="E59" s="11" t="str">
        <f>IF(IFERROR(_xludf.AGGREGATE(15,6,ROW(Измерения!$H$2:$H$202)/((Измерения!$H$2:$H$202="не соответствует")+(Измерения!$H$2:$H$202="недостаточно")),57),"")="","",IF(IF(INDEX(Измерения!$J:$J,IFERROR(_xludf.AGGREGATE(15,6,ROW(Измерения!$H$2:$H$202)/((Измерения!$H$2:$H$202="не соответствует")+(Измерения!$H$2:$H$202="недостаточно")),57),""))="Г.2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9" s="11" t="str">
        <f>IFERROR(INDEX(Измерения!$C:$C,IFERROR(_xludf.AGGREGATE(15,6,ROW(Измерения!$H$2:$H$202)/((Измерения!$H$2:$H$202="не соответствует")+(Измерения!$H$2:$H$202="недостаточно")),57),""))&amp;": "&amp;INDEX(Измерения!$E:$E,IFERROR(_xludf.AGGREGATE(15,6,ROW(Измерения!$H$2:$H$202)/((Измерения!$H$2:$H$202="не соответствует")+(Измерения!$H$2:$H$202="недостаточно")),57),""))&amp;" "&amp;INDEX(Измерения!$F:$F,IFERROR(_xludf.AGGREGATE(15,6,ROW(Измерения!$H$2:$H$202)/((Измерения!$H$2:$H$202="не соответствует")+(Измерения!$H$2:$H$202="недостаточно")),57),""))&amp;" при норме — "&amp;INDEX(Измерения!$G:$G,IFERROR(_xludf.AGGREGATE(15,6,ROW(Измерения!$H$2:$H$202)/((Измерения!$H$2:$H$202="не соответствует")+(Измерения!$H$2:$H$202="недостаточно")),57),"")),"")</f>
        <v/>
      </c>
      <c r="G59" s="11" t="str">
        <f>IF(IFERROR(_xludf.AGGREGATE(15,6,ROW(Измерения!$H$2:$H$202)/((Измерения!$H$2:$H$202="не соответствует")+(Измерения!$H$2:$H$202="недостаточно")),57),"")="","",IF(IF(INDEX(Измерения!$J:$J,IFERROR(_xludf.AGGREGATE(15,6,ROW(Измерения!$H$2:$H$202)/((Измерения!$H$2:$H$202="не соответствует")+(Измерения!$H$2:$H$202="недостаточно")),57),""))="Г.2 — достаточность интервалов",1,0)=1,"Пользователь инфраструктуры","Владелец инфраструктуры"))</f>
        <v/>
      </c>
      <c r="H59" s="10"/>
      <c r="I59" s="10"/>
    </row>
    <row r="60">
      <c r="A60" s="11" t="str">
        <f>IF(IFERROR(_xludf.AGGREGATE(15,6,ROW(Измерения!$H$2:$H$202)/((Измерения!$H$2:$H$202="не соответствует")+(Измерения!$H$2:$H$202="недостаточно")),58),"")="","",58)</f>
        <v/>
      </c>
      <c r="B60" s="11" t="str">
        <f>IF(IFERROR(_xludf.AGGREGATE(15,6,ROW(Измерения!$H$2:$H$202)/((Измерения!$H$2:$H$202="не соответствует")+(Измерения!$H$2:$H$202="недостаточно")),58),"")="","",IF(IF(INDEX(Измерения!$J:$J,IFERROR(_xludf.AGGREGATE(15,6,ROW(Измерения!$H$2:$H$202)/((Измерения!$H$2:$H$202="не соответствует")+(Измерения!$H$2:$H$202="недостаточно")),58),""))="Г.2 — достаточность интервалов",1,0)=1,"Е.1 — обусловлено размещением (пользователь)","Е.2 — эксплуатация (владелец)"))</f>
        <v/>
      </c>
      <c r="C60" s="11" t="str">
        <f>IFERROR(INDEX(Измерения!$B:$B,IFERROR(_xludf.AGGREGATE(15,6,ROW(Измерения!$H$2:$H$202)/((Измерения!$H$2:$H$202="не соответствует")+(Измерения!$H$2:$H$202="недостаточно")),58),"")),"")</f>
        <v/>
      </c>
      <c r="D60" s="11" t="str">
        <f>IFERROR(INDEX(Измерения!$A:$A,IFERROR(_xludf.AGGREGATE(15,6,ROW(Измерения!$H$2:$H$202)/((Измерения!$H$2:$H$202="не соответствует")+(Измерения!$H$2:$H$202="недостаточно")),58),"")),"")</f>
        <v/>
      </c>
      <c r="E60" s="11" t="str">
        <f>IF(IFERROR(_xludf.AGGREGATE(15,6,ROW(Измерения!$H$2:$H$202)/((Измерения!$H$2:$H$202="не соответствует")+(Измерения!$H$2:$H$202="недостаточно")),58),"")="","",IF(IF(INDEX(Измерения!$J:$J,IFERROR(_xludf.AGGREGATE(15,6,ROW(Измерения!$H$2:$H$202)/((Измерения!$H$2:$H$202="не соответствует")+(Измерения!$H$2:$H$202="недостаточно")),58),""))="Г.2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0" s="11" t="str">
        <f>IFERROR(INDEX(Измерения!$C:$C,IFERROR(_xludf.AGGREGATE(15,6,ROW(Измерения!$H$2:$H$202)/((Измерения!$H$2:$H$202="не соответствует")+(Измерения!$H$2:$H$202="недостаточно")),58),""))&amp;": "&amp;INDEX(Измерения!$E:$E,IFERROR(_xludf.AGGREGATE(15,6,ROW(Измерения!$H$2:$H$202)/((Измерения!$H$2:$H$202="не соответствует")+(Измерения!$H$2:$H$202="недостаточно")),58),""))&amp;" "&amp;INDEX(Измерения!$F:$F,IFERROR(_xludf.AGGREGATE(15,6,ROW(Измерения!$H$2:$H$202)/((Измерения!$H$2:$H$202="не соответствует")+(Измерения!$H$2:$H$202="недостаточно")),58),""))&amp;" при норме — "&amp;INDEX(Измерения!$G:$G,IFERROR(_xludf.AGGREGATE(15,6,ROW(Измерения!$H$2:$H$202)/((Измерения!$H$2:$H$202="не соответствует")+(Измерения!$H$2:$H$202="недостаточно")),58),"")),"")</f>
        <v/>
      </c>
      <c r="G60" s="11" t="str">
        <f>IF(IFERROR(_xludf.AGGREGATE(15,6,ROW(Измерения!$H$2:$H$202)/((Измерения!$H$2:$H$202="не соответствует")+(Измерения!$H$2:$H$202="недостаточно")),58),"")="","",IF(IF(INDEX(Измерения!$J:$J,IFERROR(_xludf.AGGREGATE(15,6,ROW(Измерения!$H$2:$H$202)/((Измерения!$H$2:$H$202="не соответствует")+(Измерения!$H$2:$H$202="недостаточно")),58),""))="Г.2 — достаточность интервалов",1,0)=1,"Пользователь инфраструктуры","Владелец инфраструктуры"))</f>
        <v/>
      </c>
      <c r="H60" s="10"/>
      <c r="I60" s="10"/>
    </row>
    <row r="61">
      <c r="A61" s="11" t="str">
        <f>IF(IFERROR(_xludf.AGGREGATE(15,6,ROW(Измерения!$H$2:$H$202)/((Измерения!$H$2:$H$202="не соответствует")+(Измерения!$H$2:$H$202="недостаточно")),59),"")="","",59)</f>
        <v/>
      </c>
      <c r="B61" s="11" t="str">
        <f>IF(IFERROR(_xludf.AGGREGATE(15,6,ROW(Измерения!$H$2:$H$202)/((Измерения!$H$2:$H$202="не соответствует")+(Измерения!$H$2:$H$202="недостаточно")),59),"")="","",IF(IF(INDEX(Измерения!$J:$J,IFERROR(_xludf.AGGREGATE(15,6,ROW(Измерения!$H$2:$H$202)/((Измерения!$H$2:$H$202="не соответствует")+(Измерения!$H$2:$H$202="недостаточно")),59),""))="Г.2 — достаточность интервалов",1,0)=1,"Е.1 — обусловлено размещением (пользователь)","Е.2 — эксплуатация (владелец)"))</f>
        <v/>
      </c>
      <c r="C61" s="11" t="str">
        <f>IFERROR(INDEX(Измерения!$B:$B,IFERROR(_xludf.AGGREGATE(15,6,ROW(Измерения!$H$2:$H$202)/((Измерения!$H$2:$H$202="не соответствует")+(Измерения!$H$2:$H$202="недостаточно")),59),"")),"")</f>
        <v/>
      </c>
      <c r="D61" s="11" t="str">
        <f>IFERROR(INDEX(Измерения!$A:$A,IFERROR(_xludf.AGGREGATE(15,6,ROW(Измерения!$H$2:$H$202)/((Измерения!$H$2:$H$202="не соответствует")+(Измерения!$H$2:$H$202="недостаточно")),59),"")),"")</f>
        <v/>
      </c>
      <c r="E61" s="11" t="str">
        <f>IF(IFERROR(_xludf.AGGREGATE(15,6,ROW(Измерения!$H$2:$H$202)/((Измерения!$H$2:$H$202="не соответствует")+(Измерения!$H$2:$H$202="недостаточно")),59),"")="","",IF(IF(INDEX(Измерения!$J:$J,IFERROR(_xludf.AGGREGATE(15,6,ROW(Измерения!$H$2:$H$202)/((Измерения!$H$2:$H$202="не соответствует")+(Измерения!$H$2:$H$202="недостаточно")),59),""))="Г.2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1" s="11" t="str">
        <f>IFERROR(INDEX(Измерения!$C:$C,IFERROR(_xludf.AGGREGATE(15,6,ROW(Измерения!$H$2:$H$202)/((Измерения!$H$2:$H$202="не соответствует")+(Измерения!$H$2:$H$202="недостаточно")),59),""))&amp;": "&amp;INDEX(Измерения!$E:$E,IFERROR(_xludf.AGGREGATE(15,6,ROW(Измерения!$H$2:$H$202)/((Измерения!$H$2:$H$202="не соответствует")+(Измерения!$H$2:$H$202="недостаточно")),59),""))&amp;" "&amp;INDEX(Измерения!$F:$F,IFERROR(_xludf.AGGREGATE(15,6,ROW(Измерения!$H$2:$H$202)/((Измерения!$H$2:$H$202="не соответствует")+(Измерения!$H$2:$H$202="недостаточно")),59),""))&amp;" при норме — "&amp;INDEX(Измерения!$G:$G,IFERROR(_xludf.AGGREGATE(15,6,ROW(Измерения!$H$2:$H$202)/((Измерения!$H$2:$H$202="не соответствует")+(Измерения!$H$2:$H$202="недостаточно")),59),"")),"")</f>
        <v/>
      </c>
      <c r="G61" s="11" t="str">
        <f>IF(IFERROR(_xludf.AGGREGATE(15,6,ROW(Измерения!$H$2:$H$202)/((Измерения!$H$2:$H$202="не соответствует")+(Измерения!$H$2:$H$202="недостаточно")),59),"")="","",IF(IF(INDEX(Измерения!$J:$J,IFERROR(_xludf.AGGREGATE(15,6,ROW(Измерения!$H$2:$H$202)/((Измерения!$H$2:$H$202="не соответствует")+(Измерения!$H$2:$H$202="недостаточно")),59),""))="Г.2 — достаточность интервалов",1,0)=1,"Пользователь инфраструктуры","Владелец инфраструктуры"))</f>
        <v/>
      </c>
      <c r="H61" s="10"/>
      <c r="I61" s="10"/>
    </row>
    <row r="62">
      <c r="A62" s="11" t="str">
        <f>IF(IFERROR(_xludf.AGGREGATE(15,6,ROW(Измерения!$H$2:$H$202)/((Измерения!$H$2:$H$202="не соответствует")+(Измерения!$H$2:$H$202="недостаточно")),60),"")="","",60)</f>
        <v/>
      </c>
      <c r="B62" s="11" t="str">
        <f>IF(IFERROR(_xludf.AGGREGATE(15,6,ROW(Измерения!$H$2:$H$202)/((Измерения!$H$2:$H$202="не соответствует")+(Измерения!$H$2:$H$202="недостаточно")),60),"")="","",IF(IF(INDEX(Измерения!$J:$J,IFERROR(_xludf.AGGREGATE(15,6,ROW(Измерения!$H$2:$H$202)/((Измерения!$H$2:$H$202="не соответствует")+(Измерения!$H$2:$H$202="недостаточно")),60),""))="Г.2 — достаточность интервалов",1,0)=1,"Е.1 — обусловлено размещением (пользователь)","Е.2 — эксплуатация (владелец)"))</f>
        <v/>
      </c>
      <c r="C62" s="11" t="str">
        <f>IFERROR(INDEX(Измерения!$B:$B,IFERROR(_xludf.AGGREGATE(15,6,ROW(Измерения!$H$2:$H$202)/((Измерения!$H$2:$H$202="не соответствует")+(Измерения!$H$2:$H$202="недостаточно")),60),"")),"")</f>
        <v/>
      </c>
      <c r="D62" s="11" t="str">
        <f>IFERROR(INDEX(Измерения!$A:$A,IFERROR(_xludf.AGGREGATE(15,6,ROW(Измерения!$H$2:$H$202)/((Измерения!$H$2:$H$202="не соответствует")+(Измерения!$H$2:$H$202="недостаточно")),60),"")),"")</f>
        <v/>
      </c>
      <c r="E62" s="11" t="str">
        <f>IF(IFERROR(_xludf.AGGREGATE(15,6,ROW(Измерения!$H$2:$H$202)/((Измерения!$H$2:$H$202="не соответствует")+(Измерения!$H$2:$H$202="недостаточно")),60),"")="","",IF(IF(INDEX(Измерения!$J:$J,IFERROR(_xludf.AGGREGATE(15,6,ROW(Измерения!$H$2:$H$202)/((Измерения!$H$2:$H$202="не соответствует")+(Измерения!$H$2:$H$202="недостаточно")),60),""))="Г.2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2" s="11" t="str">
        <f>IFERROR(INDEX(Измерения!$C:$C,IFERROR(_xludf.AGGREGATE(15,6,ROW(Измерения!$H$2:$H$202)/((Измерения!$H$2:$H$202="не соответствует")+(Измерения!$H$2:$H$202="недостаточно")),60),""))&amp;": "&amp;INDEX(Измерения!$E:$E,IFERROR(_xludf.AGGREGATE(15,6,ROW(Измерения!$H$2:$H$202)/((Измерения!$H$2:$H$202="не соответствует")+(Измерения!$H$2:$H$202="недостаточно")),60),""))&amp;" "&amp;INDEX(Измерения!$F:$F,IFERROR(_xludf.AGGREGATE(15,6,ROW(Измерения!$H$2:$H$202)/((Измерения!$H$2:$H$202="не соответствует")+(Измерения!$H$2:$H$202="недостаточно")),60),""))&amp;" при норме — "&amp;INDEX(Измерения!$G:$G,IFERROR(_xludf.AGGREGATE(15,6,ROW(Измерения!$H$2:$H$202)/((Измерения!$H$2:$H$202="не соответствует")+(Измерения!$H$2:$H$202="недостаточно")),60),"")),"")</f>
        <v/>
      </c>
      <c r="G62" s="11" t="str">
        <f>IF(IFERROR(_xludf.AGGREGATE(15,6,ROW(Измерения!$H$2:$H$202)/((Измерения!$H$2:$H$202="не соответствует")+(Измерения!$H$2:$H$202="недостаточно")),60),"")="","",IF(IF(INDEX(Измерения!$J:$J,IFERROR(_xludf.AGGREGATE(15,6,ROW(Измерения!$H$2:$H$202)/((Измерения!$H$2:$H$202="не соответствует")+(Измерения!$H$2:$H$202="недостаточно")),60),""))="Г.2 — достаточность интервалов",1,0)=1,"Пользователь инфраструктуры","Владелец инфраструктуры"))</f>
        <v/>
      </c>
      <c r="H62" s="10"/>
      <c r="I62" s="10"/>
    </row>
  </sheetData>
  <mergeCells count="1">
    <mergeCell ref="A2:I2"/>
  </mergeCells>
  <dataValidations count="2" disablePrompts="0">
    <dataValidation sqref="B3:B62" type="list" allowBlank="1" errorStyle="stop" imeMode="noControl" operator="between" showDropDown="0" showErrorMessage="0" showInputMessage="0">
      <formula1>Спр_Списки!$G$2:$G$3</formula1>
    </dataValidation>
    <dataValidation sqref="G3:G62" type="list" allowBlank="1" errorStyle="stop" imeMode="noControl" operator="between" showDropDown="0" showErrorMessage="0" showInputMessage="0">
      <formula1>Спр_Списки!$E$2:$E$4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ySplit="5" topLeftCell="A6" activePane="bottomLeft" state="frozen"/>
      <selection activeCell="A1" activeCellId="0" sqref="A1"/>
    </sheetView>
  </sheetViews>
  <sheetFormatPr defaultRowHeight="14.25"/>
  <cols>
    <col customWidth="1" min="1" max="1" width="18"/>
    <col customWidth="1" min="2" max="2" width="26"/>
    <col customWidth="1" min="3" max="3" width="16"/>
    <col customWidth="1" min="4" max="4" width="26"/>
    <col customWidth="1" min="5" max="6" width="18"/>
    <col customWidth="1" min="7" max="8" width="16"/>
    <col customWidth="1" min="9" max="9" width="26"/>
    <col customWidth="1" min="10" max="10" width="16"/>
    <col customWidth="1" min="11" max="11" width="20"/>
    <col customWidth="1" min="12" max="12" width="22"/>
    <col customWidth="1" min="13" max="14" width="18"/>
    <col customWidth="1" min="15" max="15" width="16"/>
  </cols>
  <sheetData>
    <row r="1">
      <c r="A1" s="1" t="s">
        <v>384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56.100000000000001" customHeight="1">
      <c r="A2" s="13" t="s">
        <v>385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>
      <c r="A4" s="23" t="s">
        <v>386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57.950000000000003" customHeight="1">
      <c r="A5" s="2" t="s">
        <v>328</v>
      </c>
      <c r="B5" s="2" t="s">
        <v>387</v>
      </c>
      <c r="C5" s="2" t="s">
        <v>388</v>
      </c>
      <c r="D5" s="2" t="s">
        <v>389</v>
      </c>
      <c r="E5" s="2" t="s">
        <v>390</v>
      </c>
      <c r="F5" s="2" t="s">
        <v>391</v>
      </c>
      <c r="G5" s="2" t="s">
        <v>392</v>
      </c>
      <c r="H5" s="2" t="s">
        <v>393</v>
      </c>
      <c r="I5" s="2" t="s">
        <v>394</v>
      </c>
      <c r="J5" s="2" t="s">
        <v>344</v>
      </c>
      <c r="K5" s="2" t="s">
        <v>395</v>
      </c>
      <c r="L5" s="2" t="s">
        <v>396</v>
      </c>
      <c r="M5" s="2" t="s">
        <v>397</v>
      </c>
      <c r="N5" s="2" t="s">
        <v>398</v>
      </c>
      <c r="O5" s="2" t="s">
        <v>301</v>
      </c>
    </row>
    <row r="6">
      <c r="A6" s="11" t="str">
        <f>IF(COUNTIF(Опоры!$E:$E,Спр_Опоры!$B4)&gt;0,Спр_Опоры!$B4,"")</f>
        <v/>
      </c>
      <c r="B6" s="11" t="str">
        <f>IF($A6="","",IFERROR(VLOOKUP($A6,Спр_Опоры!$B$4:$J$70,4,0),""))</f>
        <v/>
      </c>
      <c r="C6" s="11" t="str">
        <f>IF($A6="","",IFERROR(VLOOKUP($A6,Спр_Опоры!$B$4:$J$70,8,0),""))</f>
        <v/>
      </c>
      <c r="D6" s="11" t="str">
        <f>IF($A6="","",IFERROR(VLOOKUP($A6,Спр_Опоры!$B$4:$J$70,7,0),""))</f>
        <v/>
      </c>
      <c r="E6" s="11" t="str">
        <f>IF($A6="","",IFERROR(MAX(IF(Опоры!$E$2:$E$202=$A6,Опоры!$H$2:$H$202)),""))</f>
        <v/>
      </c>
      <c r="F6" s="11" t="str">
        <f t="shared" ref="F6:F25" si="0">$E6</f>
        <v/>
      </c>
      <c r="G6" s="11" t="str">
        <f>IF($A6="","",COUNTIF(Опоры!$E:$E,Спр_Опоры!$B4))</f>
        <v/>
      </c>
      <c r="H6" s="11" t="str">
        <f>IF($A6="","",IFERROR(VLOOKUP($A6,Спр_Опоры!$B$4:$J$70,5,0),""))</f>
        <v/>
      </c>
      <c r="I6" s="11" t="str">
        <f>IF($A6="","",IFERROR(VLOOKUP($A6,Спр_Опоры!$B$4:$J$70,6,0),""))</f>
        <v/>
      </c>
      <c r="J6" s="11" t="str">
        <f>IF($A6="","",IFERROR(VLOOKUP($A6,Спр_Опоры!$B$4:$J$70,9,0),""))</f>
        <v/>
      </c>
      <c r="K6" s="11" t="str">
        <f>IF($A6="","",SUMPRODUCT((Опоры!$E$2:$E$202=$A6)*(Опоры!$H$2:$H$202&gt;$J6)*(Опоры!$H$2:$H$202&lt;&gt;"")))</f>
        <v/>
      </c>
      <c r="L6" s="11" t="str">
        <f>IF($A6="","",SUMPRODUCT((Опоры!$E$2:$E$202=$A6)*(Опоры!$J$2:$J$202="Б")))</f>
        <v/>
      </c>
      <c r="M6" s="11" t="str">
        <f>IF($A6="","",ROUND(AVERAGEIF(Опоры!$E:$E,$A6,Опоры!$H:$H),0))</f>
        <v/>
      </c>
      <c r="N6" s="11" t="str">
        <f>IF($A6="","",MAX(IF(Опоры!$E$2:$E$202=$A6,Опоры!$S$2:$S$202)))</f>
        <v/>
      </c>
      <c r="O6" s="11" t="str">
        <f>IF($A6="","",IFERROR(INDEX(Спр_Опоры!$A$4:$A$70,MATCH($A6,Спр_Опоры!$B$4:$B$70,0)),""))</f>
        <v/>
      </c>
    </row>
    <row r="7">
      <c r="A7" s="11" t="str">
        <f>IF(COUNTIF(Опоры!$E:$E,Спр_Опоры!$B5)&gt;0,Спр_Опоры!$B5,"")</f>
        <v/>
      </c>
      <c r="B7" s="11" t="str">
        <f>IF($A7="","",IFERROR(VLOOKUP($A7,Спр_Опоры!$B$4:$J$70,4,0),""))</f>
        <v/>
      </c>
      <c r="C7" s="11" t="str">
        <f>IF($A7="","",IFERROR(VLOOKUP($A7,Спр_Опоры!$B$4:$J$70,8,0),""))</f>
        <v/>
      </c>
      <c r="D7" s="11" t="str">
        <f>IF($A7="","",IFERROR(VLOOKUP($A7,Спр_Опоры!$B$4:$J$70,7,0),""))</f>
        <v/>
      </c>
      <c r="E7" s="11" t="str">
        <f>IF($A7="","",IFERROR(MAX(IF(Опоры!$E$2:$E$202=$A7,Опоры!$H$2:$H$202)),""))</f>
        <v/>
      </c>
      <c r="F7" s="11" t="str">
        <f t="shared" si="0"/>
        <v/>
      </c>
      <c r="G7" s="11" t="str">
        <f>IF($A7="","",COUNTIF(Опоры!$E:$E,Спр_Опоры!$B5))</f>
        <v/>
      </c>
      <c r="H7" s="11" t="str">
        <f>IF($A7="","",IFERROR(VLOOKUP($A7,Спр_Опоры!$B$4:$J$70,5,0),""))</f>
        <v/>
      </c>
      <c r="I7" s="11" t="str">
        <f>IF($A7="","",IFERROR(VLOOKUP($A7,Спр_Опоры!$B$4:$J$70,6,0),""))</f>
        <v/>
      </c>
      <c r="J7" s="11" t="str">
        <f>IF($A7="","",IFERROR(VLOOKUP($A7,Спр_Опоры!$B$4:$J$70,9,0),""))</f>
        <v/>
      </c>
      <c r="K7" s="11" t="str">
        <f>IF($A7="","",SUMPRODUCT((Опоры!$E$2:$E$202=$A7)*(Опоры!$H$2:$H$202&gt;$J7)*(Опоры!$H$2:$H$202&lt;&gt;"")))</f>
        <v/>
      </c>
      <c r="L7" s="11" t="str">
        <f>IF($A7="","",SUMPRODUCT((Опоры!$E$2:$E$202=$A7)*(Опоры!$J$2:$J$202="Б")))</f>
        <v/>
      </c>
      <c r="M7" s="11" t="str">
        <f>IF($A7="","",ROUND(AVERAGEIF(Опоры!$E:$E,$A7,Опоры!$H:$H),0))</f>
        <v/>
      </c>
      <c r="N7" s="11" t="str">
        <f>IF($A7="","",MAX(IF(Опоры!$E$2:$E$202=$A7,Опоры!$S$2:$S$202)))</f>
        <v/>
      </c>
      <c r="O7" s="11" t="str">
        <f>IF($A7="","",IFERROR(INDEX(Спр_Опоры!$A$4:$A$70,MATCH($A7,Спр_Опоры!$B$4:$B$70,0)),""))</f>
        <v/>
      </c>
    </row>
    <row r="8">
      <c r="A8" s="11" t="str">
        <f>IF(COUNTIF(Опоры!$E:$E,Спр_Опоры!$B6)&gt;0,Спр_Опоры!$B6,"")</f>
        <v/>
      </c>
      <c r="B8" s="11" t="str">
        <f>IF($A8="","",IFERROR(VLOOKUP($A8,Спр_Опоры!$B$4:$J$70,4,0),""))</f>
        <v/>
      </c>
      <c r="C8" s="11" t="str">
        <f>IF($A8="","",IFERROR(VLOOKUP($A8,Спр_Опоры!$B$4:$J$70,8,0),""))</f>
        <v/>
      </c>
      <c r="D8" s="11" t="str">
        <f>IF($A8="","",IFERROR(VLOOKUP($A8,Спр_Опоры!$B$4:$J$70,7,0),""))</f>
        <v/>
      </c>
      <c r="E8" s="11" t="str">
        <f>IF($A8="","",IFERROR(MAX(IF(Опоры!$E$2:$E$202=$A8,Опоры!$H$2:$H$202)),""))</f>
        <v/>
      </c>
      <c r="F8" s="11" t="str">
        <f t="shared" si="0"/>
        <v/>
      </c>
      <c r="G8" s="11" t="str">
        <f>IF($A8="","",COUNTIF(Опоры!$E:$E,Спр_Опоры!$B6))</f>
        <v/>
      </c>
      <c r="H8" s="11" t="str">
        <f>IF($A8="","",IFERROR(VLOOKUP($A8,Спр_Опоры!$B$4:$J$70,5,0),""))</f>
        <v/>
      </c>
      <c r="I8" s="11" t="str">
        <f>IF($A8="","",IFERROR(VLOOKUP($A8,Спр_Опоры!$B$4:$J$70,6,0),""))</f>
        <v/>
      </c>
      <c r="J8" s="11" t="str">
        <f>IF($A8="","",IFERROR(VLOOKUP($A8,Спр_Опоры!$B$4:$J$70,9,0),""))</f>
        <v/>
      </c>
      <c r="K8" s="11" t="str">
        <f>IF($A8="","",SUMPRODUCT((Опоры!$E$2:$E$202=$A8)*(Опоры!$H$2:$H$202&gt;$J8)*(Опоры!$H$2:$H$202&lt;&gt;"")))</f>
        <v/>
      </c>
      <c r="L8" s="11" t="str">
        <f>IF($A8="","",SUMPRODUCT((Опоры!$E$2:$E$202=$A8)*(Опоры!$J$2:$J$202="Б")))</f>
        <v/>
      </c>
      <c r="M8" s="11" t="str">
        <f>IF($A8="","",ROUND(AVERAGEIF(Опоры!$E:$E,$A8,Опоры!$H:$H),0))</f>
        <v/>
      </c>
      <c r="N8" s="11" t="str">
        <f>IF($A8="","",MAX(IF(Опоры!$E$2:$E$202=$A8,Опоры!$S$2:$S$202)))</f>
        <v/>
      </c>
      <c r="O8" s="11" t="str">
        <f>IF($A8="","",IFERROR(INDEX(Спр_Опоры!$A$4:$A$70,MATCH($A8,Спр_Опоры!$B$4:$B$70,0)),""))</f>
        <v/>
      </c>
    </row>
    <row r="9">
      <c r="A9" s="11" t="str">
        <f>IF(COUNTIF(Опоры!$E:$E,Спр_Опоры!$B7)&gt;0,Спр_Опоры!$B7,"")</f>
        <v/>
      </c>
      <c r="B9" s="11" t="str">
        <f>IF($A9="","",IFERROR(VLOOKUP($A9,Спр_Опоры!$B$4:$J$70,4,0),""))</f>
        <v/>
      </c>
      <c r="C9" s="11" t="str">
        <f>IF($A9="","",IFERROR(VLOOKUP($A9,Спр_Опоры!$B$4:$J$70,8,0),""))</f>
        <v/>
      </c>
      <c r="D9" s="11" t="str">
        <f>IF($A9="","",IFERROR(VLOOKUP($A9,Спр_Опоры!$B$4:$J$70,7,0),""))</f>
        <v/>
      </c>
      <c r="E9" s="11" t="str">
        <f>IF($A9="","",IFERROR(MAX(IF(Опоры!$E$2:$E$202=$A9,Опоры!$H$2:$H$202)),""))</f>
        <v/>
      </c>
      <c r="F9" s="11" t="str">
        <f t="shared" si="0"/>
        <v/>
      </c>
      <c r="G9" s="11" t="str">
        <f>IF($A9="","",COUNTIF(Опоры!$E:$E,Спр_Опоры!$B7))</f>
        <v/>
      </c>
      <c r="H9" s="11" t="str">
        <f>IF($A9="","",IFERROR(VLOOKUP($A9,Спр_Опоры!$B$4:$J$70,5,0),""))</f>
        <v/>
      </c>
      <c r="I9" s="11" t="str">
        <f>IF($A9="","",IFERROR(VLOOKUP($A9,Спр_Опоры!$B$4:$J$70,6,0),""))</f>
        <v/>
      </c>
      <c r="J9" s="11" t="str">
        <f>IF($A9="","",IFERROR(VLOOKUP($A9,Спр_Опоры!$B$4:$J$70,9,0),""))</f>
        <v/>
      </c>
      <c r="K9" s="11" t="str">
        <f>IF($A9="","",SUMPRODUCT((Опоры!$E$2:$E$202=$A9)*(Опоры!$H$2:$H$202&gt;$J9)*(Опоры!$H$2:$H$202&lt;&gt;"")))</f>
        <v/>
      </c>
      <c r="L9" s="11" t="str">
        <f>IF($A9="","",SUMPRODUCT((Опоры!$E$2:$E$202=$A9)*(Опоры!$J$2:$J$202="Б")))</f>
        <v/>
      </c>
      <c r="M9" s="11" t="str">
        <f>IF($A9="","",ROUND(AVERAGEIF(Опоры!$E:$E,$A9,Опоры!$H:$H),0))</f>
        <v/>
      </c>
      <c r="N9" s="11" t="str">
        <f>IF($A9="","",MAX(IF(Опоры!$E$2:$E$202=$A9,Опоры!$S$2:$S$202)))</f>
        <v/>
      </c>
      <c r="O9" s="11" t="str">
        <f>IF($A9="","",IFERROR(INDEX(Спр_Опоры!$A$4:$A$70,MATCH($A9,Спр_Опоры!$B$4:$B$70,0)),""))</f>
        <v/>
      </c>
    </row>
    <row r="10">
      <c r="A10" s="11" t="str">
        <f>IF(COUNTIF(Опоры!$E:$E,Спр_Опоры!$B8)&gt;0,Спр_Опоры!$B8,"")</f>
        <v/>
      </c>
      <c r="B10" s="11" t="str">
        <f>IF($A10="","",IFERROR(VLOOKUP($A10,Спр_Опоры!$B$4:$J$70,4,0),""))</f>
        <v/>
      </c>
      <c r="C10" s="11" t="str">
        <f>IF($A10="","",IFERROR(VLOOKUP($A10,Спр_Опоры!$B$4:$J$70,8,0),""))</f>
        <v/>
      </c>
      <c r="D10" s="11" t="str">
        <f>IF($A10="","",IFERROR(VLOOKUP($A10,Спр_Опоры!$B$4:$J$70,7,0),""))</f>
        <v/>
      </c>
      <c r="E10" s="11" t="str">
        <f>IF($A10="","",IFERROR(MAX(IF(Опоры!$E$2:$E$202=$A10,Опоры!$H$2:$H$202)),""))</f>
        <v/>
      </c>
      <c r="F10" s="11" t="str">
        <f t="shared" si="0"/>
        <v/>
      </c>
      <c r="G10" s="11" t="str">
        <f>IF($A10="","",COUNTIF(Опоры!$E:$E,Спр_Опоры!$B8))</f>
        <v/>
      </c>
      <c r="H10" s="11" t="str">
        <f>IF($A10="","",IFERROR(VLOOKUP($A10,Спр_Опоры!$B$4:$J$70,5,0),""))</f>
        <v/>
      </c>
      <c r="I10" s="11" t="str">
        <f>IF($A10="","",IFERROR(VLOOKUP($A10,Спр_Опоры!$B$4:$J$70,6,0),""))</f>
        <v/>
      </c>
      <c r="J10" s="11" t="str">
        <f>IF($A10="","",IFERROR(VLOOKUP($A10,Спр_Опоры!$B$4:$J$70,9,0),""))</f>
        <v/>
      </c>
      <c r="K10" s="11" t="str">
        <f>IF($A10="","",SUMPRODUCT((Опоры!$E$2:$E$202=$A10)*(Опоры!$H$2:$H$202&gt;$J10)*(Опоры!$H$2:$H$202&lt;&gt;"")))</f>
        <v/>
      </c>
      <c r="L10" s="11" t="str">
        <f>IF($A10="","",SUMPRODUCT((Опоры!$E$2:$E$202=$A10)*(Опоры!$J$2:$J$202="Б")))</f>
        <v/>
      </c>
      <c r="M10" s="11" t="str">
        <f>IF($A10="","",ROUND(AVERAGEIF(Опоры!$E:$E,$A10,Опоры!$H:$H),0))</f>
        <v/>
      </c>
      <c r="N10" s="11" t="str">
        <f>IF($A10="","",MAX(IF(Опоры!$E$2:$E$202=$A10,Опоры!$S$2:$S$202)))</f>
        <v/>
      </c>
      <c r="O10" s="11" t="str">
        <f>IF($A10="","",IFERROR(INDEX(Спр_Опоры!$A$4:$A$70,MATCH($A10,Спр_Опоры!$B$4:$B$70,0)),""))</f>
        <v/>
      </c>
    </row>
    <row r="11">
      <c r="A11" s="11" t="str">
        <f>IF(COUNTIF(Опоры!$E:$E,Спр_Опоры!$B9)&gt;0,Спр_Опоры!$B9,"")</f>
        <v/>
      </c>
      <c r="B11" s="11" t="str">
        <f>IF($A11="","",IFERROR(VLOOKUP($A11,Спр_Опоры!$B$4:$J$70,4,0),""))</f>
        <v/>
      </c>
      <c r="C11" s="11" t="str">
        <f>IF($A11="","",IFERROR(VLOOKUP($A11,Спр_Опоры!$B$4:$J$70,8,0),""))</f>
        <v/>
      </c>
      <c r="D11" s="11" t="str">
        <f>IF($A11="","",IFERROR(VLOOKUP($A11,Спр_Опоры!$B$4:$J$70,7,0),""))</f>
        <v/>
      </c>
      <c r="E11" s="11" t="str">
        <f>IF($A11="","",IFERROR(MAX(IF(Опоры!$E$2:$E$202=$A11,Опоры!$H$2:$H$202)),""))</f>
        <v/>
      </c>
      <c r="F11" s="11" t="str">
        <f t="shared" si="0"/>
        <v/>
      </c>
      <c r="G11" s="11" t="str">
        <f>IF($A11="","",COUNTIF(Опоры!$E:$E,Спр_Опоры!$B9))</f>
        <v/>
      </c>
      <c r="H11" s="11" t="str">
        <f>IF($A11="","",IFERROR(VLOOKUP($A11,Спр_Опоры!$B$4:$J$70,5,0),""))</f>
        <v/>
      </c>
      <c r="I11" s="11" t="str">
        <f>IF($A11="","",IFERROR(VLOOKUP($A11,Спр_Опоры!$B$4:$J$70,6,0),""))</f>
        <v/>
      </c>
      <c r="J11" s="11" t="str">
        <f>IF($A11="","",IFERROR(VLOOKUP($A11,Спр_Опоры!$B$4:$J$70,9,0),""))</f>
        <v/>
      </c>
      <c r="K11" s="11" t="str">
        <f>IF($A11="","",SUMPRODUCT((Опоры!$E$2:$E$202=$A11)*(Опоры!$H$2:$H$202&gt;$J11)*(Опоры!$H$2:$H$202&lt;&gt;"")))</f>
        <v/>
      </c>
      <c r="L11" s="11" t="str">
        <f>IF($A11="","",SUMPRODUCT((Опоры!$E$2:$E$202=$A11)*(Опоры!$J$2:$J$202="Б")))</f>
        <v/>
      </c>
      <c r="M11" s="11" t="str">
        <f>IF($A11="","",ROUND(AVERAGEIF(Опоры!$E:$E,$A11,Опоры!$H:$H),0))</f>
        <v/>
      </c>
      <c r="N11" s="11" t="str">
        <f>IF($A11="","",MAX(IF(Опоры!$E$2:$E$202=$A11,Опоры!$S$2:$S$202)))</f>
        <v/>
      </c>
      <c r="O11" s="11" t="str">
        <f>IF($A11="","",IFERROR(INDEX(Спр_Опоры!$A$4:$A$70,MATCH($A11,Спр_Опоры!$B$4:$B$70,0)),""))</f>
        <v/>
      </c>
    </row>
    <row r="12">
      <c r="A12" s="11" t="str">
        <f>IF(COUNTIF(Опоры!$E:$E,Спр_Опоры!$B10)&gt;0,Спр_Опоры!$B10,"")</f>
        <v/>
      </c>
      <c r="B12" s="11" t="str">
        <f>IF($A12="","",IFERROR(VLOOKUP($A12,Спр_Опоры!$B$4:$J$70,4,0),""))</f>
        <v/>
      </c>
      <c r="C12" s="11" t="str">
        <f>IF($A12="","",IFERROR(VLOOKUP($A12,Спр_Опоры!$B$4:$J$70,8,0),""))</f>
        <v/>
      </c>
      <c r="D12" s="11" t="str">
        <f>IF($A12="","",IFERROR(VLOOKUP($A12,Спр_Опоры!$B$4:$J$70,7,0),""))</f>
        <v/>
      </c>
      <c r="E12" s="11" t="str">
        <f>IF($A12="","",IFERROR(MAX(IF(Опоры!$E$2:$E$202=$A12,Опоры!$H$2:$H$202)),""))</f>
        <v/>
      </c>
      <c r="F12" s="11" t="str">
        <f t="shared" si="0"/>
        <v/>
      </c>
      <c r="G12" s="11" t="str">
        <f>IF($A12="","",COUNTIF(Опоры!$E:$E,Спр_Опоры!$B10))</f>
        <v/>
      </c>
      <c r="H12" s="11" t="str">
        <f>IF($A12="","",IFERROR(VLOOKUP($A12,Спр_Опоры!$B$4:$J$70,5,0),""))</f>
        <v/>
      </c>
      <c r="I12" s="11" t="str">
        <f>IF($A12="","",IFERROR(VLOOKUP($A12,Спр_Опоры!$B$4:$J$70,6,0),""))</f>
        <v/>
      </c>
      <c r="J12" s="11" t="str">
        <f>IF($A12="","",IFERROR(VLOOKUP($A12,Спр_Опоры!$B$4:$J$70,9,0),""))</f>
        <v/>
      </c>
      <c r="K12" s="11" t="str">
        <f>IF($A12="","",SUMPRODUCT((Опоры!$E$2:$E$202=$A12)*(Опоры!$H$2:$H$202&gt;$J12)*(Опоры!$H$2:$H$202&lt;&gt;"")))</f>
        <v/>
      </c>
      <c r="L12" s="11" t="str">
        <f>IF($A12="","",SUMPRODUCT((Опоры!$E$2:$E$202=$A12)*(Опоры!$J$2:$J$202="Б")))</f>
        <v/>
      </c>
      <c r="M12" s="11" t="str">
        <f>IF($A12="","",ROUND(AVERAGEIF(Опоры!$E:$E,$A12,Опоры!$H:$H),0))</f>
        <v/>
      </c>
      <c r="N12" s="11" t="str">
        <f>IF($A12="","",MAX(IF(Опоры!$E$2:$E$202=$A12,Опоры!$S$2:$S$202)))</f>
        <v/>
      </c>
      <c r="O12" s="11" t="str">
        <f>IF($A12="","",IFERROR(INDEX(Спр_Опоры!$A$4:$A$70,MATCH($A12,Спр_Опоры!$B$4:$B$70,0)),""))</f>
        <v/>
      </c>
    </row>
    <row r="13">
      <c r="A13" s="11" t="str">
        <f>IF(COUNTIF(Опоры!$E:$E,Спр_Опоры!$B11)&gt;0,Спр_Опоры!$B11,"")</f>
        <v/>
      </c>
      <c r="B13" s="11" t="str">
        <f>IF($A13="","",IFERROR(VLOOKUP($A13,Спр_Опоры!$B$4:$J$70,4,0),""))</f>
        <v/>
      </c>
      <c r="C13" s="11" t="str">
        <f>IF($A13="","",IFERROR(VLOOKUP($A13,Спр_Опоры!$B$4:$J$70,8,0),""))</f>
        <v/>
      </c>
      <c r="D13" s="11" t="str">
        <f>IF($A13="","",IFERROR(VLOOKUP($A13,Спр_Опоры!$B$4:$J$70,7,0),""))</f>
        <v/>
      </c>
      <c r="E13" s="11" t="str">
        <f>IF($A13="","",IFERROR(MAX(IF(Опоры!$E$2:$E$202=$A13,Опоры!$H$2:$H$202)),""))</f>
        <v/>
      </c>
      <c r="F13" s="11" t="str">
        <f t="shared" si="0"/>
        <v/>
      </c>
      <c r="G13" s="11" t="str">
        <f>IF($A13="","",COUNTIF(Опоры!$E:$E,Спр_Опоры!$B11))</f>
        <v/>
      </c>
      <c r="H13" s="11" t="str">
        <f>IF($A13="","",IFERROR(VLOOKUP($A13,Спр_Опоры!$B$4:$J$70,5,0),""))</f>
        <v/>
      </c>
      <c r="I13" s="11" t="str">
        <f>IF($A13="","",IFERROR(VLOOKUP($A13,Спр_Опоры!$B$4:$J$70,6,0),""))</f>
        <v/>
      </c>
      <c r="J13" s="11" t="str">
        <f>IF($A13="","",IFERROR(VLOOKUP($A13,Спр_Опоры!$B$4:$J$70,9,0),""))</f>
        <v/>
      </c>
      <c r="K13" s="11" t="str">
        <f>IF($A13="","",SUMPRODUCT((Опоры!$E$2:$E$202=$A13)*(Опоры!$H$2:$H$202&gt;$J13)*(Опоры!$H$2:$H$202&lt;&gt;"")))</f>
        <v/>
      </c>
      <c r="L13" s="11" t="str">
        <f>IF($A13="","",SUMPRODUCT((Опоры!$E$2:$E$202=$A13)*(Опоры!$J$2:$J$202="Б")))</f>
        <v/>
      </c>
      <c r="M13" s="11" t="str">
        <f>IF($A13="","",ROUND(AVERAGEIF(Опоры!$E:$E,$A13,Опоры!$H:$H),0))</f>
        <v/>
      </c>
      <c r="N13" s="11" t="str">
        <f>IF($A13="","",MAX(IF(Опоры!$E$2:$E$202=$A13,Опоры!$S$2:$S$202)))</f>
        <v/>
      </c>
      <c r="O13" s="11" t="str">
        <f>IF($A13="","",IFERROR(INDEX(Спр_Опоры!$A$4:$A$70,MATCH($A13,Спр_Опоры!$B$4:$B$70,0)),""))</f>
        <v/>
      </c>
    </row>
    <row r="14">
      <c r="A14" s="11" t="str">
        <f>IF(COUNTIF(Опоры!$E:$E,Спр_Опоры!$B12)&gt;0,Спр_Опоры!$B12,"")</f>
        <v/>
      </c>
      <c r="B14" s="11" t="str">
        <f>IF($A14="","",IFERROR(VLOOKUP($A14,Спр_Опоры!$B$4:$J$70,4,0),""))</f>
        <v/>
      </c>
      <c r="C14" s="11" t="str">
        <f>IF($A14="","",IFERROR(VLOOKUP($A14,Спр_Опоры!$B$4:$J$70,8,0),""))</f>
        <v/>
      </c>
      <c r="D14" s="11" t="str">
        <f>IF($A14="","",IFERROR(VLOOKUP($A14,Спр_Опоры!$B$4:$J$70,7,0),""))</f>
        <v/>
      </c>
      <c r="E14" s="11" t="str">
        <f>IF($A14="","",IFERROR(MAX(IF(Опоры!$E$2:$E$202=$A14,Опоры!$H$2:$H$202)),""))</f>
        <v/>
      </c>
      <c r="F14" s="11" t="str">
        <f t="shared" si="0"/>
        <v/>
      </c>
      <c r="G14" s="11" t="str">
        <f>IF($A14="","",COUNTIF(Опоры!$E:$E,Спр_Опоры!$B12))</f>
        <v/>
      </c>
      <c r="H14" s="11" t="str">
        <f>IF($A14="","",IFERROR(VLOOKUP($A14,Спр_Опоры!$B$4:$J$70,5,0),""))</f>
        <v/>
      </c>
      <c r="I14" s="11" t="str">
        <f>IF($A14="","",IFERROR(VLOOKUP($A14,Спр_Опоры!$B$4:$J$70,6,0),""))</f>
        <v/>
      </c>
      <c r="J14" s="11" t="str">
        <f>IF($A14="","",IFERROR(VLOOKUP($A14,Спр_Опоры!$B$4:$J$70,9,0),""))</f>
        <v/>
      </c>
      <c r="K14" s="11" t="str">
        <f>IF($A14="","",SUMPRODUCT((Опоры!$E$2:$E$202=$A14)*(Опоры!$H$2:$H$202&gt;$J14)*(Опоры!$H$2:$H$202&lt;&gt;"")))</f>
        <v/>
      </c>
      <c r="L14" s="11" t="str">
        <f>IF($A14="","",SUMPRODUCT((Опоры!$E$2:$E$202=$A14)*(Опоры!$J$2:$J$202="Б")))</f>
        <v/>
      </c>
      <c r="M14" s="11" t="str">
        <f>IF($A14="","",ROUND(AVERAGEIF(Опоры!$E:$E,$A14,Опоры!$H:$H),0))</f>
        <v/>
      </c>
      <c r="N14" s="11" t="str">
        <f>IF($A14="","",MAX(IF(Опоры!$E$2:$E$202=$A14,Опоры!$S$2:$S$202)))</f>
        <v/>
      </c>
      <c r="O14" s="11" t="str">
        <f>IF($A14="","",IFERROR(INDEX(Спр_Опоры!$A$4:$A$70,MATCH($A14,Спр_Опоры!$B$4:$B$70,0)),""))</f>
        <v/>
      </c>
    </row>
    <row r="15">
      <c r="A15" s="11" t="str">
        <f>IF(COUNTIF(Опоры!$E:$E,Спр_Опоры!$B13)&gt;0,Спр_Опоры!$B13,"")</f>
        <v/>
      </c>
      <c r="B15" s="11" t="str">
        <f>IF($A15="","",IFERROR(VLOOKUP($A15,Спр_Опоры!$B$4:$J$70,4,0),""))</f>
        <v/>
      </c>
      <c r="C15" s="11" t="str">
        <f>IF($A15="","",IFERROR(VLOOKUP($A15,Спр_Опоры!$B$4:$J$70,8,0),""))</f>
        <v/>
      </c>
      <c r="D15" s="11" t="str">
        <f>IF($A15="","",IFERROR(VLOOKUP($A15,Спр_Опоры!$B$4:$J$70,7,0),""))</f>
        <v/>
      </c>
      <c r="E15" s="11" t="str">
        <f>IF($A15="","",IFERROR(MAX(IF(Опоры!$E$2:$E$202=$A15,Опоры!$H$2:$H$202)),""))</f>
        <v/>
      </c>
      <c r="F15" s="11" t="str">
        <f t="shared" si="0"/>
        <v/>
      </c>
      <c r="G15" s="11" t="str">
        <f>IF($A15="","",COUNTIF(Опоры!$E:$E,Спр_Опоры!$B13))</f>
        <v/>
      </c>
      <c r="H15" s="11" t="str">
        <f>IF($A15="","",IFERROR(VLOOKUP($A15,Спр_Опоры!$B$4:$J$70,5,0),""))</f>
        <v/>
      </c>
      <c r="I15" s="11" t="str">
        <f>IF($A15="","",IFERROR(VLOOKUP($A15,Спр_Опоры!$B$4:$J$70,6,0),""))</f>
        <v/>
      </c>
      <c r="J15" s="11" t="str">
        <f>IF($A15="","",IFERROR(VLOOKUP($A15,Спр_Опоры!$B$4:$J$70,9,0),""))</f>
        <v/>
      </c>
      <c r="K15" s="11" t="str">
        <f>IF($A15="","",SUMPRODUCT((Опоры!$E$2:$E$202=$A15)*(Опоры!$H$2:$H$202&gt;$J15)*(Опоры!$H$2:$H$202&lt;&gt;"")))</f>
        <v/>
      </c>
      <c r="L15" s="11" t="str">
        <f>IF($A15="","",SUMPRODUCT((Опоры!$E$2:$E$202=$A15)*(Опоры!$J$2:$J$202="Б")))</f>
        <v/>
      </c>
      <c r="M15" s="11" t="str">
        <f>IF($A15="","",ROUND(AVERAGEIF(Опоры!$E:$E,$A15,Опоры!$H:$H),0))</f>
        <v/>
      </c>
      <c r="N15" s="11" t="str">
        <f>IF($A15="","",MAX(IF(Опоры!$E$2:$E$202=$A15,Опоры!$S$2:$S$202)))</f>
        <v/>
      </c>
      <c r="O15" s="11" t="str">
        <f>IF($A15="","",IFERROR(INDEX(Спр_Опоры!$A$4:$A$70,MATCH($A15,Спр_Опоры!$B$4:$B$70,0)),""))</f>
        <v/>
      </c>
    </row>
    <row r="16">
      <c r="A16" s="11" t="str">
        <f>IF(COUNTIF(Опоры!$E:$E,Спр_Опоры!$B14)&gt;0,Спр_Опоры!$B14,"")</f>
        <v/>
      </c>
      <c r="B16" s="11" t="str">
        <f>IF($A16="","",IFERROR(VLOOKUP($A16,Спр_Опоры!$B$4:$J$70,4,0),""))</f>
        <v/>
      </c>
      <c r="C16" s="11" t="str">
        <f>IF($A16="","",IFERROR(VLOOKUP($A16,Спр_Опоры!$B$4:$J$70,8,0),""))</f>
        <v/>
      </c>
      <c r="D16" s="11" t="str">
        <f>IF($A16="","",IFERROR(VLOOKUP($A16,Спр_Опоры!$B$4:$J$70,7,0),""))</f>
        <v/>
      </c>
      <c r="E16" s="11" t="str">
        <f>IF($A16="","",IFERROR(MAX(IF(Опоры!$E$2:$E$202=$A16,Опоры!$H$2:$H$202)),""))</f>
        <v/>
      </c>
      <c r="F16" s="11" t="str">
        <f t="shared" si="0"/>
        <v/>
      </c>
      <c r="G16" s="11" t="str">
        <f>IF($A16="","",COUNTIF(Опоры!$E:$E,Спр_Опоры!$B14))</f>
        <v/>
      </c>
      <c r="H16" s="11" t="str">
        <f>IF($A16="","",IFERROR(VLOOKUP($A16,Спр_Опоры!$B$4:$J$70,5,0),""))</f>
        <v/>
      </c>
      <c r="I16" s="11" t="str">
        <f>IF($A16="","",IFERROR(VLOOKUP($A16,Спр_Опоры!$B$4:$J$70,6,0),""))</f>
        <v/>
      </c>
      <c r="J16" s="11" t="str">
        <f>IF($A16="","",IFERROR(VLOOKUP($A16,Спр_Опоры!$B$4:$J$70,9,0),""))</f>
        <v/>
      </c>
      <c r="K16" s="11" t="str">
        <f>IF($A16="","",SUMPRODUCT((Опоры!$E$2:$E$202=$A16)*(Опоры!$H$2:$H$202&gt;$J16)*(Опоры!$H$2:$H$202&lt;&gt;"")))</f>
        <v/>
      </c>
      <c r="L16" s="11" t="str">
        <f>IF($A16="","",SUMPRODUCT((Опоры!$E$2:$E$202=$A16)*(Опоры!$J$2:$J$202="Б")))</f>
        <v/>
      </c>
      <c r="M16" s="11" t="str">
        <f>IF($A16="","",ROUND(AVERAGEIF(Опоры!$E:$E,$A16,Опоры!$H:$H),0))</f>
        <v/>
      </c>
      <c r="N16" s="11" t="str">
        <f>IF($A16="","",MAX(IF(Опоры!$E$2:$E$202=$A16,Опоры!$S$2:$S$202)))</f>
        <v/>
      </c>
      <c r="O16" s="11" t="str">
        <f>IF($A16="","",IFERROR(INDEX(Спр_Опоры!$A$4:$A$70,MATCH($A16,Спр_Опоры!$B$4:$B$70,0)),""))</f>
        <v/>
      </c>
    </row>
    <row r="17">
      <c r="A17" s="11" t="str">
        <f>IF(COUNTIF(Опоры!$E:$E,Спр_Опоры!$B15)&gt;0,Спр_Опоры!$B15,"")</f>
        <v/>
      </c>
      <c r="B17" s="11" t="str">
        <f>IF($A17="","",IFERROR(VLOOKUP($A17,Спр_Опоры!$B$4:$J$70,4,0),""))</f>
        <v/>
      </c>
      <c r="C17" s="11" t="str">
        <f>IF($A17="","",IFERROR(VLOOKUP($A17,Спр_Опоры!$B$4:$J$70,8,0),""))</f>
        <v/>
      </c>
      <c r="D17" s="11" t="str">
        <f>IF($A17="","",IFERROR(VLOOKUP($A17,Спр_Опоры!$B$4:$J$70,7,0),""))</f>
        <v/>
      </c>
      <c r="E17" s="11" t="str">
        <f>IF($A17="","",IFERROR(MAX(IF(Опоры!$E$2:$E$202=$A17,Опоры!$H$2:$H$202)),""))</f>
        <v/>
      </c>
      <c r="F17" s="11" t="str">
        <f t="shared" si="0"/>
        <v/>
      </c>
      <c r="G17" s="11" t="str">
        <f>IF($A17="","",COUNTIF(Опоры!$E:$E,Спр_Опоры!$B15))</f>
        <v/>
      </c>
      <c r="H17" s="11" t="str">
        <f>IF($A17="","",IFERROR(VLOOKUP($A17,Спр_Опоры!$B$4:$J$70,5,0),""))</f>
        <v/>
      </c>
      <c r="I17" s="11" t="str">
        <f>IF($A17="","",IFERROR(VLOOKUP($A17,Спр_Опоры!$B$4:$J$70,6,0),""))</f>
        <v/>
      </c>
      <c r="J17" s="11" t="str">
        <f>IF($A17="","",IFERROR(VLOOKUP($A17,Спр_Опоры!$B$4:$J$70,9,0),""))</f>
        <v/>
      </c>
      <c r="K17" s="11" t="str">
        <f>IF($A17="","",SUMPRODUCT((Опоры!$E$2:$E$202=$A17)*(Опоры!$H$2:$H$202&gt;$J17)*(Опоры!$H$2:$H$202&lt;&gt;"")))</f>
        <v/>
      </c>
      <c r="L17" s="11" t="str">
        <f>IF($A17="","",SUMPRODUCT((Опоры!$E$2:$E$202=$A17)*(Опоры!$J$2:$J$202="Б")))</f>
        <v/>
      </c>
      <c r="M17" s="11" t="str">
        <f>IF($A17="","",ROUND(AVERAGEIF(Опоры!$E:$E,$A17,Опоры!$H:$H),0))</f>
        <v/>
      </c>
      <c r="N17" s="11" t="str">
        <f>IF($A17="","",MAX(IF(Опоры!$E$2:$E$202=$A17,Опоры!$S$2:$S$202)))</f>
        <v/>
      </c>
      <c r="O17" s="11" t="str">
        <f>IF($A17="","",IFERROR(INDEX(Спр_Опоры!$A$4:$A$70,MATCH($A17,Спр_Опоры!$B$4:$B$70,0)),""))</f>
        <v/>
      </c>
    </row>
    <row r="18">
      <c r="A18" s="11" t="str">
        <f>IF(COUNTIF(Опоры!$E:$E,Спр_Опоры!$B16)&gt;0,Спр_Опоры!$B16,"")</f>
        <v/>
      </c>
      <c r="B18" s="11" t="str">
        <f>IF($A18="","",IFERROR(VLOOKUP($A18,Спр_Опоры!$B$4:$J$70,4,0),""))</f>
        <v/>
      </c>
      <c r="C18" s="11" t="str">
        <f>IF($A18="","",IFERROR(VLOOKUP($A18,Спр_Опоры!$B$4:$J$70,8,0),""))</f>
        <v/>
      </c>
      <c r="D18" s="11" t="str">
        <f>IF($A18="","",IFERROR(VLOOKUP($A18,Спр_Опоры!$B$4:$J$70,7,0),""))</f>
        <v/>
      </c>
      <c r="E18" s="11" t="str">
        <f>IF($A18="","",IFERROR(MAX(IF(Опоры!$E$2:$E$202=$A18,Опоры!$H$2:$H$202)),""))</f>
        <v/>
      </c>
      <c r="F18" s="11" t="str">
        <f t="shared" si="0"/>
        <v/>
      </c>
      <c r="G18" s="11" t="str">
        <f>IF($A18="","",COUNTIF(Опоры!$E:$E,Спр_Опоры!$B16))</f>
        <v/>
      </c>
      <c r="H18" s="11" t="str">
        <f>IF($A18="","",IFERROR(VLOOKUP($A18,Спр_Опоры!$B$4:$J$70,5,0),""))</f>
        <v/>
      </c>
      <c r="I18" s="11" t="str">
        <f>IF($A18="","",IFERROR(VLOOKUP($A18,Спр_Опоры!$B$4:$J$70,6,0),""))</f>
        <v/>
      </c>
      <c r="J18" s="11" t="str">
        <f>IF($A18="","",IFERROR(VLOOKUP($A18,Спр_Опоры!$B$4:$J$70,9,0),""))</f>
        <v/>
      </c>
      <c r="K18" s="11" t="str">
        <f>IF($A18="","",SUMPRODUCT((Опоры!$E$2:$E$202=$A18)*(Опоры!$H$2:$H$202&gt;$J18)*(Опоры!$H$2:$H$202&lt;&gt;"")))</f>
        <v/>
      </c>
      <c r="L18" s="11" t="str">
        <f>IF($A18="","",SUMPRODUCT((Опоры!$E$2:$E$202=$A18)*(Опоры!$J$2:$J$202="Б")))</f>
        <v/>
      </c>
      <c r="M18" s="11" t="str">
        <f>IF($A18="","",ROUND(AVERAGEIF(Опоры!$E:$E,$A18,Опоры!$H:$H),0))</f>
        <v/>
      </c>
      <c r="N18" s="11" t="str">
        <f>IF($A18="","",MAX(IF(Опоры!$E$2:$E$202=$A18,Опоры!$S$2:$S$202)))</f>
        <v/>
      </c>
      <c r="O18" s="11" t="str">
        <f>IF($A18="","",IFERROR(INDEX(Спр_Опоры!$A$4:$A$70,MATCH($A18,Спр_Опоры!$B$4:$B$70,0)),""))</f>
        <v/>
      </c>
    </row>
    <row r="19">
      <c r="A19" s="11" t="str">
        <f>IF(COUNTIF(Опоры!$E:$E,Спр_Опоры!$B17)&gt;0,Спр_Опоры!$B17,"")</f>
        <v/>
      </c>
      <c r="B19" s="11" t="str">
        <f>IF($A19="","",IFERROR(VLOOKUP($A19,Спр_Опоры!$B$4:$J$70,4,0),""))</f>
        <v/>
      </c>
      <c r="C19" s="11" t="str">
        <f>IF($A19="","",IFERROR(VLOOKUP($A19,Спр_Опоры!$B$4:$J$70,8,0),""))</f>
        <v/>
      </c>
      <c r="D19" s="11" t="str">
        <f>IF($A19="","",IFERROR(VLOOKUP($A19,Спр_Опоры!$B$4:$J$70,7,0),""))</f>
        <v/>
      </c>
      <c r="E19" s="11" t="str">
        <f>IF($A19="","",IFERROR(MAX(IF(Опоры!$E$2:$E$202=$A19,Опоры!$H$2:$H$202)),""))</f>
        <v/>
      </c>
      <c r="F19" s="11" t="str">
        <f t="shared" si="0"/>
        <v/>
      </c>
      <c r="G19" s="11" t="str">
        <f>IF($A19="","",COUNTIF(Опоры!$E:$E,Спр_Опоры!$B17))</f>
        <v/>
      </c>
      <c r="H19" s="11" t="str">
        <f>IF($A19="","",IFERROR(VLOOKUP($A19,Спр_Опоры!$B$4:$J$70,5,0),""))</f>
        <v/>
      </c>
      <c r="I19" s="11" t="str">
        <f>IF($A19="","",IFERROR(VLOOKUP($A19,Спр_Опоры!$B$4:$J$70,6,0),""))</f>
        <v/>
      </c>
      <c r="J19" s="11" t="str">
        <f>IF($A19="","",IFERROR(VLOOKUP($A19,Спр_Опоры!$B$4:$J$70,9,0),""))</f>
        <v/>
      </c>
      <c r="K19" s="11" t="str">
        <f>IF($A19="","",SUMPRODUCT((Опоры!$E$2:$E$202=$A19)*(Опоры!$H$2:$H$202&gt;$J19)*(Опоры!$H$2:$H$202&lt;&gt;"")))</f>
        <v/>
      </c>
      <c r="L19" s="11" t="str">
        <f>IF($A19="","",SUMPRODUCT((Опоры!$E$2:$E$202=$A19)*(Опоры!$J$2:$J$202="Б")))</f>
        <v/>
      </c>
      <c r="M19" s="11" t="str">
        <f>IF($A19="","",ROUND(AVERAGEIF(Опоры!$E:$E,$A19,Опоры!$H:$H),0))</f>
        <v/>
      </c>
      <c r="N19" s="11" t="str">
        <f>IF($A19="","",MAX(IF(Опоры!$E$2:$E$202=$A19,Опоры!$S$2:$S$202)))</f>
        <v/>
      </c>
      <c r="O19" s="11" t="str">
        <f>IF($A19="","",IFERROR(INDEX(Спр_Опоры!$A$4:$A$70,MATCH($A19,Спр_Опоры!$B$4:$B$70,0)),""))</f>
        <v/>
      </c>
    </row>
    <row r="20">
      <c r="A20" s="11" t="str">
        <f>IF(COUNTIF(Опоры!$E:$E,Спр_Опоры!$B18)&gt;0,Спр_Опоры!$B18,"")</f>
        <v/>
      </c>
      <c r="B20" s="11" t="str">
        <f>IF($A20="","",IFERROR(VLOOKUP($A20,Спр_Опоры!$B$4:$J$70,4,0),""))</f>
        <v/>
      </c>
      <c r="C20" s="11" t="str">
        <f>IF($A20="","",IFERROR(VLOOKUP($A20,Спр_Опоры!$B$4:$J$70,8,0),""))</f>
        <v/>
      </c>
      <c r="D20" s="11" t="str">
        <f>IF($A20="","",IFERROR(VLOOKUP($A20,Спр_Опоры!$B$4:$J$70,7,0),""))</f>
        <v/>
      </c>
      <c r="E20" s="11" t="str">
        <f>IF($A20="","",IFERROR(MAX(IF(Опоры!$E$2:$E$202=$A20,Опоры!$H$2:$H$202)),""))</f>
        <v/>
      </c>
      <c r="F20" s="11" t="str">
        <f t="shared" si="0"/>
        <v/>
      </c>
      <c r="G20" s="11" t="str">
        <f>IF($A20="","",COUNTIF(Опоры!$E:$E,Спр_Опоры!$B18))</f>
        <v/>
      </c>
      <c r="H20" s="11" t="str">
        <f>IF($A20="","",IFERROR(VLOOKUP($A20,Спр_Опоры!$B$4:$J$70,5,0),""))</f>
        <v/>
      </c>
      <c r="I20" s="11" t="str">
        <f>IF($A20="","",IFERROR(VLOOKUP($A20,Спр_Опоры!$B$4:$J$70,6,0),""))</f>
        <v/>
      </c>
      <c r="J20" s="11" t="str">
        <f>IF($A20="","",IFERROR(VLOOKUP($A20,Спр_Опоры!$B$4:$J$70,9,0),""))</f>
        <v/>
      </c>
      <c r="K20" s="11" t="str">
        <f>IF($A20="","",SUMPRODUCT((Опоры!$E$2:$E$202=$A20)*(Опоры!$H$2:$H$202&gt;$J20)*(Опоры!$H$2:$H$202&lt;&gt;"")))</f>
        <v/>
      </c>
      <c r="L20" s="11" t="str">
        <f>IF($A20="","",SUMPRODUCT((Опоры!$E$2:$E$202=$A20)*(Опоры!$J$2:$J$202="Б")))</f>
        <v/>
      </c>
      <c r="M20" s="11" t="str">
        <f>IF($A20="","",ROUND(AVERAGEIF(Опоры!$E:$E,$A20,Опоры!$H:$H),0))</f>
        <v/>
      </c>
      <c r="N20" s="11" t="str">
        <f>IF($A20="","",MAX(IF(Опоры!$E$2:$E$202=$A20,Опоры!$S$2:$S$202)))</f>
        <v/>
      </c>
      <c r="O20" s="11" t="str">
        <f>IF($A20="","",IFERROR(INDEX(Спр_Опоры!$A$4:$A$70,MATCH($A20,Спр_Опоры!$B$4:$B$70,0)),""))</f>
        <v/>
      </c>
    </row>
    <row r="21">
      <c r="A21" s="11" t="str">
        <f>IF(COUNTIF(Опоры!$E:$E,Спр_Опоры!$B19)&gt;0,Спр_Опоры!$B19,"")</f>
        <v/>
      </c>
      <c r="B21" s="11" t="str">
        <f>IF($A21="","",IFERROR(VLOOKUP($A21,Спр_Опоры!$B$4:$J$70,4,0),""))</f>
        <v/>
      </c>
      <c r="C21" s="11" t="str">
        <f>IF($A21="","",IFERROR(VLOOKUP($A21,Спр_Опоры!$B$4:$J$70,8,0),""))</f>
        <v/>
      </c>
      <c r="D21" s="11" t="str">
        <f>IF($A21="","",IFERROR(VLOOKUP($A21,Спр_Опоры!$B$4:$J$70,7,0),""))</f>
        <v/>
      </c>
      <c r="E21" s="11" t="str">
        <f>IF($A21="","",IFERROR(MAX(IF(Опоры!$E$2:$E$202=$A21,Опоры!$H$2:$H$202)),""))</f>
        <v/>
      </c>
      <c r="F21" s="11" t="str">
        <f t="shared" si="0"/>
        <v/>
      </c>
      <c r="G21" s="11" t="str">
        <f>IF($A21="","",COUNTIF(Опоры!$E:$E,Спр_Опоры!$B19))</f>
        <v/>
      </c>
      <c r="H21" s="11" t="str">
        <f>IF($A21="","",IFERROR(VLOOKUP($A21,Спр_Опоры!$B$4:$J$70,5,0),""))</f>
        <v/>
      </c>
      <c r="I21" s="11" t="str">
        <f>IF($A21="","",IFERROR(VLOOKUP($A21,Спр_Опоры!$B$4:$J$70,6,0),""))</f>
        <v/>
      </c>
      <c r="J21" s="11" t="str">
        <f>IF($A21="","",IFERROR(VLOOKUP($A21,Спр_Опоры!$B$4:$J$70,9,0),""))</f>
        <v/>
      </c>
      <c r="K21" s="11" t="str">
        <f>IF($A21="","",SUMPRODUCT((Опоры!$E$2:$E$202=$A21)*(Опоры!$H$2:$H$202&gt;$J21)*(Опоры!$H$2:$H$202&lt;&gt;"")))</f>
        <v/>
      </c>
      <c r="L21" s="11" t="str">
        <f>IF($A21="","",SUMPRODUCT((Опоры!$E$2:$E$202=$A21)*(Опоры!$J$2:$J$202="Б")))</f>
        <v/>
      </c>
      <c r="M21" s="11" t="str">
        <f>IF($A21="","",ROUND(AVERAGEIF(Опоры!$E:$E,$A21,Опоры!$H:$H),0))</f>
        <v/>
      </c>
      <c r="N21" s="11" t="str">
        <f>IF($A21="","",MAX(IF(Опоры!$E$2:$E$202=$A21,Опоры!$S$2:$S$202)))</f>
        <v/>
      </c>
      <c r="O21" s="11" t="str">
        <f>IF($A21="","",IFERROR(INDEX(Спр_Опоры!$A$4:$A$70,MATCH($A21,Спр_Опоры!$B$4:$B$70,0)),""))</f>
        <v/>
      </c>
    </row>
    <row r="22">
      <c r="A22" s="11" t="str">
        <f>IF(COUNTIF(Опоры!$E:$E,Спр_Опоры!$B20)&gt;0,Спр_Опоры!$B20,"")</f>
        <v/>
      </c>
      <c r="B22" s="11" t="str">
        <f>IF($A22="","",IFERROR(VLOOKUP($A22,Спр_Опоры!$B$4:$J$70,4,0),""))</f>
        <v/>
      </c>
      <c r="C22" s="11" t="str">
        <f>IF($A22="","",IFERROR(VLOOKUP($A22,Спр_Опоры!$B$4:$J$70,8,0),""))</f>
        <v/>
      </c>
      <c r="D22" s="11" t="str">
        <f>IF($A22="","",IFERROR(VLOOKUP($A22,Спр_Опоры!$B$4:$J$70,7,0),""))</f>
        <v/>
      </c>
      <c r="E22" s="11" t="str">
        <f>IF($A22="","",IFERROR(MAX(IF(Опоры!$E$2:$E$202=$A22,Опоры!$H$2:$H$202)),""))</f>
        <v/>
      </c>
      <c r="F22" s="11" t="str">
        <f t="shared" si="0"/>
        <v/>
      </c>
      <c r="G22" s="11" t="str">
        <f>IF($A22="","",COUNTIF(Опоры!$E:$E,Спр_Опоры!$B20))</f>
        <v/>
      </c>
      <c r="H22" s="11" t="str">
        <f>IF($A22="","",IFERROR(VLOOKUP($A22,Спр_Опоры!$B$4:$J$70,5,0),""))</f>
        <v/>
      </c>
      <c r="I22" s="11" t="str">
        <f>IF($A22="","",IFERROR(VLOOKUP($A22,Спр_Опоры!$B$4:$J$70,6,0),""))</f>
        <v/>
      </c>
      <c r="J22" s="11" t="str">
        <f>IF($A22="","",IFERROR(VLOOKUP($A22,Спр_Опоры!$B$4:$J$70,9,0),""))</f>
        <v/>
      </c>
      <c r="K22" s="11" t="str">
        <f>IF($A22="","",SUMPRODUCT((Опоры!$E$2:$E$202=$A22)*(Опоры!$H$2:$H$202&gt;$J22)*(Опоры!$H$2:$H$202&lt;&gt;"")))</f>
        <v/>
      </c>
      <c r="L22" s="11" t="str">
        <f>IF($A22="","",SUMPRODUCT((Опоры!$E$2:$E$202=$A22)*(Опоры!$J$2:$J$202="Б")))</f>
        <v/>
      </c>
      <c r="M22" s="11" t="str">
        <f>IF($A22="","",ROUND(AVERAGEIF(Опоры!$E:$E,$A22,Опоры!$H:$H),0))</f>
        <v/>
      </c>
      <c r="N22" s="11" t="str">
        <f>IF($A22="","",MAX(IF(Опоры!$E$2:$E$202=$A22,Опоры!$S$2:$S$202)))</f>
        <v/>
      </c>
      <c r="O22" s="11" t="str">
        <f>IF($A22="","",IFERROR(INDEX(Спр_Опоры!$A$4:$A$70,MATCH($A22,Спр_Опоры!$B$4:$B$70,0)),""))</f>
        <v/>
      </c>
    </row>
    <row r="23">
      <c r="A23" s="11" t="str">
        <f>IF(COUNTIF(Опоры!$E:$E,Спр_Опоры!$B21)&gt;0,Спр_Опоры!$B21,"")</f>
        <v/>
      </c>
      <c r="B23" s="11" t="str">
        <f>IF($A23="","",IFERROR(VLOOKUP($A23,Спр_Опоры!$B$4:$J$70,4,0),""))</f>
        <v/>
      </c>
      <c r="C23" s="11" t="str">
        <f>IF($A23="","",IFERROR(VLOOKUP($A23,Спр_Опоры!$B$4:$J$70,8,0),""))</f>
        <v/>
      </c>
      <c r="D23" s="11" t="str">
        <f>IF($A23="","",IFERROR(VLOOKUP($A23,Спр_Опоры!$B$4:$J$70,7,0),""))</f>
        <v/>
      </c>
      <c r="E23" s="11" t="str">
        <f>IF($A23="","",IFERROR(MAX(IF(Опоры!$E$2:$E$202=$A23,Опоры!$H$2:$H$202)),""))</f>
        <v/>
      </c>
      <c r="F23" s="11" t="str">
        <f t="shared" si="0"/>
        <v/>
      </c>
      <c r="G23" s="11" t="str">
        <f>IF($A23="","",COUNTIF(Опоры!$E:$E,Спр_Опоры!$B21))</f>
        <v/>
      </c>
      <c r="H23" s="11" t="str">
        <f>IF($A23="","",IFERROR(VLOOKUP($A23,Спр_Опоры!$B$4:$J$70,5,0),""))</f>
        <v/>
      </c>
      <c r="I23" s="11" t="str">
        <f>IF($A23="","",IFERROR(VLOOKUP($A23,Спр_Опоры!$B$4:$J$70,6,0),""))</f>
        <v/>
      </c>
      <c r="J23" s="11" t="str">
        <f>IF($A23="","",IFERROR(VLOOKUP($A23,Спр_Опоры!$B$4:$J$70,9,0),""))</f>
        <v/>
      </c>
      <c r="K23" s="11" t="str">
        <f>IF($A23="","",SUMPRODUCT((Опоры!$E$2:$E$202=$A23)*(Опоры!$H$2:$H$202&gt;$J23)*(Опоры!$H$2:$H$202&lt;&gt;"")))</f>
        <v/>
      </c>
      <c r="L23" s="11" t="str">
        <f>IF($A23="","",SUMPRODUCT((Опоры!$E$2:$E$202=$A23)*(Опоры!$J$2:$J$202="Б")))</f>
        <v/>
      </c>
      <c r="M23" s="11" t="str">
        <f>IF($A23="","",ROUND(AVERAGEIF(Опоры!$E:$E,$A23,Опоры!$H:$H),0))</f>
        <v/>
      </c>
      <c r="N23" s="11" t="str">
        <f>IF($A23="","",MAX(IF(Опоры!$E$2:$E$202=$A23,Опоры!$S$2:$S$202)))</f>
        <v/>
      </c>
      <c r="O23" s="11" t="str">
        <f>IF($A23="","",IFERROR(INDEX(Спр_Опоры!$A$4:$A$70,MATCH($A23,Спр_Опоры!$B$4:$B$70,0)),""))</f>
        <v/>
      </c>
    </row>
    <row r="24">
      <c r="A24" s="11" t="str">
        <f>IF(COUNTIF(Опоры!$E:$E,Спр_Опоры!$B22)&gt;0,Спр_Опоры!$B22,"")</f>
        <v/>
      </c>
      <c r="B24" s="11" t="str">
        <f>IF($A24="","",IFERROR(VLOOKUP($A24,Спр_Опоры!$B$4:$J$70,4,0),""))</f>
        <v/>
      </c>
      <c r="C24" s="11" t="str">
        <f>IF($A24="","",IFERROR(VLOOKUP($A24,Спр_Опоры!$B$4:$J$70,8,0),""))</f>
        <v/>
      </c>
      <c r="D24" s="11" t="str">
        <f>IF($A24="","",IFERROR(VLOOKUP($A24,Спр_Опоры!$B$4:$J$70,7,0),""))</f>
        <v/>
      </c>
      <c r="E24" s="11" t="str">
        <f>IF($A24="","",IFERROR(MAX(IF(Опоры!$E$2:$E$202=$A24,Опоры!$H$2:$H$202)),""))</f>
        <v/>
      </c>
      <c r="F24" s="11" t="str">
        <f t="shared" si="0"/>
        <v/>
      </c>
      <c r="G24" s="11" t="str">
        <f>IF($A24="","",COUNTIF(Опоры!$E:$E,Спр_Опоры!$B22))</f>
        <v/>
      </c>
      <c r="H24" s="11" t="str">
        <f>IF($A24="","",IFERROR(VLOOKUP($A24,Спр_Опоры!$B$4:$J$70,5,0),""))</f>
        <v/>
      </c>
      <c r="I24" s="11" t="str">
        <f>IF($A24="","",IFERROR(VLOOKUP($A24,Спр_Опоры!$B$4:$J$70,6,0),""))</f>
        <v/>
      </c>
      <c r="J24" s="11" t="str">
        <f>IF($A24="","",IFERROR(VLOOKUP($A24,Спр_Опоры!$B$4:$J$70,9,0),""))</f>
        <v/>
      </c>
      <c r="K24" s="11" t="str">
        <f>IF($A24="","",SUMPRODUCT((Опоры!$E$2:$E$202=$A24)*(Опоры!$H$2:$H$202&gt;$J24)*(Опоры!$H$2:$H$202&lt;&gt;"")))</f>
        <v/>
      </c>
      <c r="L24" s="11" t="str">
        <f>IF($A24="","",SUMPRODUCT((Опоры!$E$2:$E$202=$A24)*(Опоры!$J$2:$J$202="Б")))</f>
        <v/>
      </c>
      <c r="M24" s="11" t="str">
        <f>IF($A24="","",ROUND(AVERAGEIF(Опоры!$E:$E,$A24,Опоры!$H:$H),0))</f>
        <v/>
      </c>
      <c r="N24" s="11" t="str">
        <f>IF($A24="","",MAX(IF(Опоры!$E$2:$E$202=$A24,Опоры!$S$2:$S$202)))</f>
        <v/>
      </c>
      <c r="O24" s="11" t="str">
        <f>IF($A24="","",IFERROR(INDEX(Спр_Опоры!$A$4:$A$70,MATCH($A24,Спр_Опоры!$B$4:$B$70,0)),""))</f>
        <v/>
      </c>
    </row>
    <row r="25">
      <c r="A25" s="11" t="str">
        <f>IF(COUNTIF(Опоры!$E:$E,Спр_Опоры!$B23)&gt;0,Спр_Опоры!$B23,"")</f>
        <v/>
      </c>
      <c r="B25" s="11" t="str">
        <f>IF($A25="","",IFERROR(VLOOKUP($A25,Спр_Опоры!$B$4:$J$70,4,0),""))</f>
        <v/>
      </c>
      <c r="C25" s="11" t="str">
        <f>IF($A25="","",IFERROR(VLOOKUP($A25,Спр_Опоры!$B$4:$J$70,8,0),""))</f>
        <v/>
      </c>
      <c r="D25" s="11" t="str">
        <f>IF($A25="","",IFERROR(VLOOKUP($A25,Спр_Опоры!$B$4:$J$70,7,0),""))</f>
        <v/>
      </c>
      <c r="E25" s="11" t="str">
        <f>IF($A25="","",IFERROR(MAX(IF(Опоры!$E$2:$E$202=$A25,Опоры!$H$2:$H$202)),""))</f>
        <v/>
      </c>
      <c r="F25" s="11" t="str">
        <f t="shared" si="0"/>
        <v/>
      </c>
      <c r="G25" s="11" t="str">
        <f>IF($A25="","",COUNTIF(Опоры!$E:$E,Спр_Опоры!$B23))</f>
        <v/>
      </c>
      <c r="H25" s="11" t="str">
        <f>IF($A25="","",IFERROR(VLOOKUP($A25,Спр_Опоры!$B$4:$J$70,5,0),""))</f>
        <v/>
      </c>
      <c r="I25" s="11" t="str">
        <f>IF($A25="","",IFERROR(VLOOKUP($A25,Спр_Опоры!$B$4:$J$70,6,0),""))</f>
        <v/>
      </c>
      <c r="J25" s="11" t="str">
        <f>IF($A25="","",IFERROR(VLOOKUP($A25,Спр_Опоры!$B$4:$J$70,9,0),""))</f>
        <v/>
      </c>
      <c r="K25" s="11" t="str">
        <f>IF($A25="","",SUMPRODUCT((Опоры!$E$2:$E$202=$A25)*(Опоры!$H$2:$H$202&gt;$J25)*(Опоры!$H$2:$H$202&lt;&gt;"")))</f>
        <v/>
      </c>
      <c r="L25" s="11" t="str">
        <f>IF($A25="","",SUMPRODUCT((Опоры!$E$2:$E$202=$A25)*(Опоры!$J$2:$J$202="Б")))</f>
        <v/>
      </c>
      <c r="M25" s="11" t="str">
        <f>IF($A25="","",ROUND(AVERAGEIF(Опоры!$E:$E,$A25,Опоры!$H:$H),0))</f>
        <v/>
      </c>
      <c r="N25" s="11" t="str">
        <f>IF($A25="","",MAX(IF(Опоры!$E$2:$E$202=$A25,Опоры!$S$2:$S$202)))</f>
        <v/>
      </c>
      <c r="O25" s="11" t="str">
        <f>IF($A25="","",IFERROR(INDEX(Спр_Опоры!$A$4:$A$70,MATCH($A25,Спр_Опоры!$B$4:$B$70,0)),""))</f>
        <v/>
      </c>
    </row>
    <row r="27">
      <c r="A27" s="23" t="s">
        <v>399</v>
      </c>
      <c r="B27" s="4"/>
      <c r="C27" s="4"/>
      <c r="D27" s="4"/>
      <c r="E27" s="4"/>
      <c r="F27" s="4"/>
      <c r="G27" s="4"/>
      <c r="H27" s="4"/>
    </row>
    <row r="28" ht="51.950000000000003" customHeight="1">
      <c r="A28" s="2" t="s">
        <v>400</v>
      </c>
      <c r="B28" s="2" t="s">
        <v>401</v>
      </c>
      <c r="C28" s="2" t="s">
        <v>314</v>
      </c>
      <c r="D28" s="2" t="s">
        <v>315</v>
      </c>
      <c r="E28" s="2" t="s">
        <v>318</v>
      </c>
      <c r="F28" s="2" t="s">
        <v>402</v>
      </c>
      <c r="G28" s="2" t="s">
        <v>403</v>
      </c>
      <c r="H28" s="2" t="s">
        <v>322</v>
      </c>
      <c r="I28" s="2" t="s">
        <v>301</v>
      </c>
    </row>
    <row r="29" ht="27">
      <c r="A29" s="14" t="s">
        <v>404</v>
      </c>
      <c r="B29" s="14">
        <v>3</v>
      </c>
      <c r="C29" s="15" t="str">
        <f>IFERROR(VLOOKUP($A29,Спр_Кабели!$A$4:$G$17,3,0),"")</f>
        <v/>
      </c>
      <c r="D29" s="15" t="str">
        <f>IFERROR(VLOOKUP($A29,Спр_Кабели!$A$4:$G$17,4,0),"")</f>
        <v/>
      </c>
      <c r="E29" s="14">
        <v>8.1999999999999993</v>
      </c>
      <c r="F29" s="14" t="s">
        <v>405</v>
      </c>
      <c r="G29" s="15" t="str">
        <f>IF($F29="Иной пользователь инфраструктуры","договор № "&amp;Паспорт!$C$10&amp;" от "&amp;Паспорт!$C$11,"")</f>
        <v/>
      </c>
      <c r="H29" s="14">
        <v>8.5</v>
      </c>
      <c r="I29" s="14" t="s">
        <v>406</v>
      </c>
    </row>
    <row r="30">
      <c r="A30" s="10"/>
      <c r="B30" s="10"/>
      <c r="C30" s="11" t="str">
        <f>IFERROR(VLOOKUP($A30,Спр_Кабели!$A$4:$G$17,3,0),"")</f>
        <v/>
      </c>
      <c r="D30" s="11" t="str">
        <f>IFERROR(VLOOKUP($A30,Спр_Кабели!$A$4:$G$17,4,0),"")</f>
        <v/>
      </c>
      <c r="E30" s="10"/>
      <c r="F30" s="10"/>
      <c r="G30" s="11" t="str">
        <f>IF($F30="Иной пользователь инфраструктуры","договор № "&amp;Паспорт!$C$10&amp;" от "&amp;Паспорт!$C$11,"")</f>
        <v/>
      </c>
      <c r="H30" s="10"/>
      <c r="I30" s="10"/>
    </row>
    <row r="31">
      <c r="A31" s="10"/>
      <c r="B31" s="10"/>
      <c r="C31" s="11" t="str">
        <f>IFERROR(VLOOKUP($A31,Спр_Кабели!$A$4:$G$17,3,0),"")</f>
        <v/>
      </c>
      <c r="D31" s="11" t="str">
        <f>IFERROR(VLOOKUP($A31,Спр_Кабели!$A$4:$G$17,4,0),"")</f>
        <v/>
      </c>
      <c r="E31" s="10"/>
      <c r="F31" s="10"/>
      <c r="G31" s="11" t="str">
        <f>IF($F31="Иной пользователь инфраструктуры","договор № "&amp;Паспорт!$C$10&amp;" от "&amp;Паспорт!$C$11,"")</f>
        <v/>
      </c>
      <c r="H31" s="10"/>
      <c r="I31" s="10"/>
    </row>
    <row r="32">
      <c r="A32" s="10"/>
      <c r="B32" s="10"/>
      <c r="C32" s="11" t="str">
        <f>IFERROR(VLOOKUP($A32,Спр_Кабели!$A$4:$G$17,3,0),"")</f>
        <v/>
      </c>
      <c r="D32" s="11" t="str">
        <f>IFERROR(VLOOKUP($A32,Спр_Кабели!$A$4:$G$17,4,0),"")</f>
        <v/>
      </c>
      <c r="E32" s="10"/>
      <c r="F32" s="10"/>
      <c r="G32" s="11" t="str">
        <f>IF($F32="Иной пользователь инфраструктуры","договор № "&amp;Паспорт!$C$10&amp;" от "&amp;Паспорт!$C$11,"")</f>
        <v/>
      </c>
      <c r="H32" s="10"/>
      <c r="I32" s="10"/>
    </row>
    <row r="33">
      <c r="A33" s="10"/>
      <c r="B33" s="10"/>
      <c r="C33" s="11" t="str">
        <f>IFERROR(VLOOKUP($A33,Спр_Кабели!$A$4:$G$17,3,0),"")</f>
        <v/>
      </c>
      <c r="D33" s="11" t="str">
        <f>IFERROR(VLOOKUP($A33,Спр_Кабели!$A$4:$G$17,4,0),"")</f>
        <v/>
      </c>
      <c r="E33" s="10"/>
      <c r="F33" s="10"/>
      <c r="G33" s="11" t="str">
        <f>IF($F33="Иной пользователь инфраструктуры","договор № "&amp;Паспорт!$C$10&amp;" от "&amp;Паспорт!$C$11,"")</f>
        <v/>
      </c>
      <c r="H33" s="10"/>
      <c r="I33" s="10"/>
    </row>
    <row r="34">
      <c r="A34" s="10"/>
      <c r="B34" s="10"/>
      <c r="C34" s="11" t="str">
        <f>IFERROR(VLOOKUP($A34,Спр_Кабели!$A$4:$G$17,3,0),"")</f>
        <v/>
      </c>
      <c r="D34" s="11" t="str">
        <f>IFERROR(VLOOKUP($A34,Спр_Кабели!$A$4:$G$17,4,0),"")</f>
        <v/>
      </c>
      <c r="E34" s="10"/>
      <c r="F34" s="10"/>
      <c r="G34" s="11" t="str">
        <f>IF($F34="Иной пользователь инфраструктуры","договор № "&amp;Паспорт!$C$10&amp;" от "&amp;Паспорт!$C$11,"")</f>
        <v/>
      </c>
      <c r="H34" s="10"/>
      <c r="I34" s="10"/>
    </row>
    <row r="35">
      <c r="A35" s="10"/>
      <c r="B35" s="10"/>
      <c r="C35" s="11" t="str">
        <f>IFERROR(VLOOKUP($A35,Спр_Кабели!$A$4:$G$17,3,0),"")</f>
        <v/>
      </c>
      <c r="D35" s="11" t="str">
        <f>IFERROR(VLOOKUP($A35,Спр_Кабели!$A$4:$G$17,4,0),"")</f>
        <v/>
      </c>
      <c r="E35" s="10"/>
      <c r="F35" s="10"/>
      <c r="G35" s="11" t="str">
        <f>IF($F35="Иной пользователь инфраструктуры","договор № "&amp;Паспорт!$C$10&amp;" от "&amp;Паспорт!$C$11,"")</f>
        <v/>
      </c>
      <c r="H35" s="10"/>
      <c r="I35" s="10"/>
    </row>
    <row r="36">
      <c r="A36" s="10"/>
      <c r="B36" s="10"/>
      <c r="C36" s="11" t="str">
        <f>IFERROR(VLOOKUP($A36,Спр_Кабели!$A$4:$G$17,3,0),"")</f>
        <v/>
      </c>
      <c r="D36" s="11" t="str">
        <f>IFERROR(VLOOKUP($A36,Спр_Кабели!$A$4:$G$17,4,0),"")</f>
        <v/>
      </c>
      <c r="E36" s="10"/>
      <c r="F36" s="10"/>
      <c r="G36" s="11" t="str">
        <f>IF($F36="Иной пользователь инфраструктуры","договор № "&amp;Паспорт!$C$10&amp;" от "&amp;Паспорт!$C$11,"")</f>
        <v/>
      </c>
      <c r="H36" s="10"/>
      <c r="I36" s="10"/>
    </row>
    <row r="37">
      <c r="A37" s="10"/>
      <c r="B37" s="10"/>
      <c r="C37" s="11" t="str">
        <f>IFERROR(VLOOKUP($A37,Спр_Кабели!$A$4:$G$17,3,0),"")</f>
        <v/>
      </c>
      <c r="D37" s="11" t="str">
        <f>IFERROR(VLOOKUP($A37,Спр_Кабели!$A$4:$G$17,4,0),"")</f>
        <v/>
      </c>
      <c r="E37" s="10"/>
      <c r="F37" s="10"/>
      <c r="G37" s="11" t="str">
        <f>IF($F37="Иной пользователь инфраструктуры","договор № "&amp;Паспорт!$C$10&amp;" от "&amp;Паспорт!$C$11,"")</f>
        <v/>
      </c>
      <c r="H37" s="10"/>
      <c r="I37" s="10"/>
    </row>
    <row r="38">
      <c r="A38" s="10"/>
      <c r="B38" s="10"/>
      <c r="C38" s="11" t="str">
        <f>IFERROR(VLOOKUP($A38,Спр_Кабели!$A$4:$G$17,3,0),"")</f>
        <v/>
      </c>
      <c r="D38" s="11" t="str">
        <f>IFERROR(VLOOKUP($A38,Спр_Кабели!$A$4:$G$17,4,0),"")</f>
        <v/>
      </c>
      <c r="E38" s="10"/>
      <c r="F38" s="10"/>
      <c r="G38" s="11" t="str">
        <f>IF($F38="Иной пользователь инфраструктуры","договор № "&amp;Паспорт!$C$10&amp;" от "&amp;Паспорт!$C$11,"")</f>
        <v/>
      </c>
      <c r="H38" s="10"/>
      <c r="I38" s="10"/>
    </row>
    <row r="39">
      <c r="A39" s="10"/>
      <c r="B39" s="10"/>
      <c r="C39" s="11" t="str">
        <f>IFERROR(VLOOKUP($A39,Спр_Кабели!$A$4:$G$17,3,0),"")</f>
        <v/>
      </c>
      <c r="D39" s="11" t="str">
        <f>IFERROR(VLOOKUP($A39,Спр_Кабели!$A$4:$G$17,4,0),"")</f>
        <v/>
      </c>
      <c r="E39" s="10"/>
      <c r="F39" s="10"/>
      <c r="G39" s="11" t="str">
        <f>IF($F39="Иной пользователь инфраструктуры","договор № "&amp;Паспорт!$C$10&amp;" от "&amp;Паспорт!$C$11,"")</f>
        <v/>
      </c>
      <c r="H39" s="10"/>
      <c r="I39" s="10"/>
    </row>
    <row r="40">
      <c r="A40" s="10"/>
      <c r="B40" s="10"/>
      <c r="C40" s="11" t="str">
        <f>IFERROR(VLOOKUP($A40,Спр_Кабели!$A$4:$G$17,3,0),"")</f>
        <v/>
      </c>
      <c r="D40" s="11" t="str">
        <f>IFERROR(VLOOKUP($A40,Спр_Кабели!$A$4:$G$17,4,0),"")</f>
        <v/>
      </c>
      <c r="E40" s="10"/>
      <c r="F40" s="10"/>
      <c r="G40" s="11" t="str">
        <f>IF($F40="Иной пользователь инфраструктуры","договор № "&amp;Паспорт!$C$10&amp;" от "&amp;Паспорт!$C$11,"")</f>
        <v/>
      </c>
      <c r="H40" s="10"/>
      <c r="I40" s="10"/>
    </row>
    <row r="41">
      <c r="A41" s="10"/>
      <c r="B41" s="10"/>
      <c r="C41" s="11" t="str">
        <f>IFERROR(VLOOKUP($A41,Спр_Кабели!$A$4:$G$17,3,0),"")</f>
        <v/>
      </c>
      <c r="D41" s="11" t="str">
        <f>IFERROR(VLOOKUP($A41,Спр_Кабели!$A$4:$G$17,4,0),"")</f>
        <v/>
      </c>
      <c r="E41" s="10"/>
      <c r="F41" s="10"/>
      <c r="G41" s="11" t="str">
        <f>IF($F41="Иной пользователь инфраструктуры","договор № "&amp;Паспорт!$C$10&amp;" от "&amp;Паспорт!$C$11,"")</f>
        <v/>
      </c>
      <c r="H41" s="10"/>
      <c r="I41" s="10"/>
    </row>
    <row r="42">
      <c r="A42" s="10"/>
      <c r="B42" s="10"/>
      <c r="C42" s="11" t="str">
        <f>IFERROR(VLOOKUP($A42,Спр_Кабели!$A$4:$G$17,3,0),"")</f>
        <v/>
      </c>
      <c r="D42" s="11" t="str">
        <f>IFERROR(VLOOKUP($A42,Спр_Кабели!$A$4:$G$17,4,0),"")</f>
        <v/>
      </c>
      <c r="E42" s="10"/>
      <c r="F42" s="10"/>
      <c r="G42" s="11" t="str">
        <f>IF($F42="Иной пользователь инфраструктуры","договор № "&amp;Паспорт!$C$10&amp;" от "&amp;Паспорт!$C$11,"")</f>
        <v/>
      </c>
      <c r="H42" s="10"/>
      <c r="I42" s="10"/>
    </row>
    <row r="43">
      <c r="A43" s="10"/>
      <c r="B43" s="10"/>
      <c r="C43" s="11" t="str">
        <f>IFERROR(VLOOKUP($A43,Спр_Кабели!$A$4:$G$17,3,0),"")</f>
        <v/>
      </c>
      <c r="D43" s="11" t="str">
        <f>IFERROR(VLOOKUP($A43,Спр_Кабели!$A$4:$G$17,4,0),"")</f>
        <v/>
      </c>
      <c r="E43" s="10"/>
      <c r="F43" s="10"/>
      <c r="G43" s="11" t="str">
        <f>IF($F43="Иной пользователь инфраструктуры","договор № "&amp;Паспорт!$C$10&amp;" от "&amp;Паспорт!$C$11,"")</f>
        <v/>
      </c>
      <c r="H43" s="10"/>
      <c r="I43" s="10"/>
    </row>
    <row r="44">
      <c r="A44" s="10"/>
      <c r="B44" s="10"/>
      <c r="C44" s="11" t="str">
        <f>IFERROR(VLOOKUP($A44,Спр_Кабели!$A$4:$G$17,3,0),"")</f>
        <v/>
      </c>
      <c r="D44" s="11" t="str">
        <f>IFERROR(VLOOKUP($A44,Спр_Кабели!$A$4:$G$17,4,0),"")</f>
        <v/>
      </c>
      <c r="E44" s="10"/>
      <c r="F44" s="10"/>
      <c r="G44" s="11" t="str">
        <f>IF($F44="Иной пользователь инфраструктуры","договор № "&amp;Паспорт!$C$10&amp;" от "&amp;Паспорт!$C$11,"")</f>
        <v/>
      </c>
      <c r="H44" s="10"/>
      <c r="I44" s="10"/>
    </row>
  </sheetData>
  <mergeCells count="4">
    <mergeCell ref="A1:N1"/>
    <mergeCell ref="A2:N2"/>
    <mergeCell ref="A4:N4"/>
    <mergeCell ref="A27:H27"/>
  </mergeCells>
  <dataValidations count="2" disablePrompts="0">
    <dataValidation sqref="I29:I44" type="list" allowBlank="1" errorStyle="stop" imeMode="noControl" operator="between" showDropDown="0" showErrorMessage="0" showInputMessage="0">
      <formula1>Спр_Списки!$A$2:$A$11</formula1>
    </dataValidation>
    <dataValidation sqref="F29:F44" type="list" allowBlank="1" errorStyle="stop" imeMode="noControl" operator="between" showDropDown="0" showErrorMessage="0" showInputMessage="0">
      <formula1>Спр_Списки!$D$2:$D$5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90077-00DB-4415-ADAD-007600C2002E}" type="list" allowBlank="1" errorStyle="stop" imeMode="noControl" operator="between" showDropDown="0" showErrorMessage="0" showInputMessage="0">
          <x14:formula1>
            <xm:f>Подвеска_Марки</xm:f>
          </x14:formula1>
          <xm:sqref>A29:A44</xm:sqref>
        </x14:dataValidation>
      </x14:dataValidations>
    </ext>
  </extLst>
</worksheet>
</file>

<file path=xl/worksheets/sheet10.xml><?xml version="1.0" encoding="utf-8"?>
<worksheet xmlns="http://schemas.openxmlformats.org/spreadsheetml/2006/main">
  <dimension ref="A1:H14"/>
  <sheetViews>
    <sheetView workbookViewId="0">
      <pane xSplit="0" ySplit="2" topLeftCell="A3" activePane="bottomLeft" state="frozen"/>
    </sheetView>
  </sheetViews>
  <cols>
    <col width="16" customWidth="1" min="1" max="1"/>
    <col width="22" customWidth="1" min="2" max="2"/>
    <col width="24" customWidth="1" min="3" max="3"/>
    <col width="18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 xml:space="preserve">СПРАВОЧНИК ПАРАМЕТРОВ ВЛ ПО КЛАССАМ НАПРЯЖЕНИЯ (константы ПУЭ-7, ПП РФ № 160)</t>
        </is>
      </c>
    </row>
    <row r="2">
      <c r="A2" s="2" t="inlineStr">
        <is>
          <t xml:space="preserve">Класс напряжения, кВ</t>
        </is>
      </c>
      <c r="B2" s="2" t="inlineStr">
        <is>
          <t xml:space="preserve">Габарит провода до земли (насел.), м</t>
        </is>
      </c>
      <c r="C2" s="2" t="inlineStr">
        <is>
          <t xml:space="preserve">Габарит провода до земли (ненасел.), м</t>
        </is>
      </c>
      <c r="D2" s="2" t="inlineStr">
        <is>
          <t xml:space="preserve">Габарит ОКСН до земли, м</t>
        </is>
      </c>
      <c r="E2" s="2" t="inlineStr">
        <is>
          <t xml:space="preserve">Мин. расстояние ОКСН–провод, м</t>
        </is>
      </c>
      <c r="F2" s="2" t="inlineStr">
        <is>
          <t xml:space="preserve">Охранная зона, м (ПП № 160)</t>
        </is>
      </c>
      <c r="G2" s="2" t="inlineStr">
        <is>
          <t xml:space="preserve">Габарит до зданий (насел.), м</t>
        </is>
      </c>
      <c r="H2" s="2" t="inlineStr">
        <is>
          <t xml:space="preserve">Сортировка</t>
        </is>
      </c>
    </row>
    <row r="3">
      <c r="A3" s="3" t="inlineStr">
        <is>
          <t xml:space="preserve">0,4</t>
        </is>
      </c>
      <c r="B3" s="3" t="n">
        <v>6</v>
      </c>
      <c r="C3" s="3" t="n">
        <v>6</v>
      </c>
      <c r="D3" s="3" t="n">
        <v>5</v>
      </c>
      <c r="E3" s="3" t="n">
        <v>0.4</v>
      </c>
      <c r="F3" s="3" t="n">
        <v>2</v>
      </c>
      <c r="G3" s="3" t="n">
        <v>3</v>
      </c>
      <c r="H3" s="3" t="n">
        <v>1</v>
      </c>
    </row>
    <row r="4">
      <c r="A4" s="3" t="inlineStr">
        <is>
          <t xml:space="preserve">6</t>
        </is>
      </c>
      <c r="B4" s="3" t="n">
        <v>6</v>
      </c>
      <c r="C4" s="3" t="n">
        <v>6</v>
      </c>
      <c r="D4" s="3" t="n">
        <v>5</v>
      </c>
      <c r="E4" s="3" t="n">
        <v>0.6</v>
      </c>
      <c r="F4" s="3" t="n">
        <v>10</v>
      </c>
      <c r="G4" s="3" t="n">
        <v>3</v>
      </c>
      <c r="H4" s="3" t="n">
        <v>2</v>
      </c>
    </row>
    <row r="5">
      <c r="A5" s="3" t="inlineStr">
        <is>
          <t xml:space="preserve">10</t>
        </is>
      </c>
      <c r="B5" s="3" t="n">
        <v>7</v>
      </c>
      <c r="C5" s="3" t="n">
        <v>6</v>
      </c>
      <c r="D5" s="3" t="n">
        <v>5</v>
      </c>
      <c r="E5" s="3" t="n">
        <v>0.6</v>
      </c>
      <c r="F5" s="3" t="n">
        <v>10</v>
      </c>
      <c r="G5" s="3" t="n">
        <v>3</v>
      </c>
      <c r="H5" s="3" t="n">
        <v>3</v>
      </c>
    </row>
    <row r="6">
      <c r="A6" s="3" t="inlineStr">
        <is>
          <t xml:space="preserve">10/0,4</t>
        </is>
      </c>
      <c r="B6" s="3" t="n">
        <v>7</v>
      </c>
      <c r="C6" s="3" t="n">
        <v>6</v>
      </c>
      <c r="D6" s="3" t="n">
        <v>5</v>
      </c>
      <c r="E6" s="3" t="n">
        <v>0.6</v>
      </c>
      <c r="F6" s="3" t="n">
        <v>10</v>
      </c>
      <c r="G6" s="3" t="n">
        <v>3</v>
      </c>
      <c r="H6" s="3" t="n">
        <v>4</v>
      </c>
    </row>
    <row r="7">
      <c r="A7" s="3" t="inlineStr">
        <is>
          <t xml:space="preserve">20</t>
        </is>
      </c>
      <c r="B7" s="3" t="n">
        <v>7</v>
      </c>
      <c r="C7" s="3" t="n">
        <v>6</v>
      </c>
      <c r="D7" s="3" t="n">
        <v>5</v>
      </c>
      <c r="E7" s="3" t="n">
        <v>0.6</v>
      </c>
      <c r="F7" s="3" t="n">
        <v>10</v>
      </c>
      <c r="G7" s="3" t="n">
        <v>3</v>
      </c>
      <c r="H7" s="3" t="n">
        <v>5</v>
      </c>
    </row>
    <row r="8">
      <c r="A8" s="3" t="inlineStr">
        <is>
          <t xml:space="preserve">35</t>
        </is>
      </c>
      <c r="B8" s="3" t="n">
        <v>7</v>
      </c>
      <c r="C8" s="3" t="n">
        <v>6</v>
      </c>
      <c r="D8" s="3" t="n">
        <v>5</v>
      </c>
      <c r="E8" s="3" t="n">
        <v>0.6</v>
      </c>
      <c r="F8" s="3" t="n">
        <v>15</v>
      </c>
      <c r="G8" s="3" t="n">
        <v>3</v>
      </c>
      <c r="H8" s="3" t="n">
        <v>6</v>
      </c>
    </row>
    <row r="9">
      <c r="A9" s="3" t="inlineStr">
        <is>
          <t xml:space="preserve">110</t>
        </is>
      </c>
      <c r="B9" s="3" t="n">
        <v>7</v>
      </c>
      <c r="C9" s="3" t="n">
        <v>6</v>
      </c>
      <c r="D9" s="3" t="n">
        <v>5</v>
      </c>
      <c r="E9" s="3" t="n">
        <v>1</v>
      </c>
      <c r="F9" s="3" t="n">
        <v>20</v>
      </c>
      <c r="G9" s="3" t="n">
        <v>4</v>
      </c>
      <c r="H9" s="3" t="n">
        <v>7</v>
      </c>
    </row>
    <row r="10">
      <c r="A10" s="3" t="inlineStr">
        <is>
          <t xml:space="preserve">150</t>
        </is>
      </c>
      <c r="B10" s="3" t="n">
        <v>7.5</v>
      </c>
      <c r="C10" s="3" t="n">
        <v>6.5</v>
      </c>
      <c r="D10" s="3" t="n">
        <v>5</v>
      </c>
      <c r="E10" s="3" t="n">
        <v>1.5</v>
      </c>
      <c r="F10" s="3" t="n">
        <v>25</v>
      </c>
      <c r="G10" s="3" t="n">
        <v>4</v>
      </c>
      <c r="H10" s="3" t="n">
        <v>8</v>
      </c>
    </row>
    <row r="11">
      <c r="A11" s="3" t="inlineStr">
        <is>
          <t xml:space="preserve">220</t>
        </is>
      </c>
      <c r="B11" s="3" t="n">
        <v>8</v>
      </c>
      <c r="C11" s="3" t="n">
        <v>7</v>
      </c>
      <c r="D11" s="3" t="n">
        <v>5</v>
      </c>
      <c r="E11" s="3" t="n">
        <v>2</v>
      </c>
      <c r="F11" s="3" t="n">
        <v>25</v>
      </c>
      <c r="G11" s="3" t="n">
        <v>5</v>
      </c>
      <c r="H11" s="3" t="n">
        <v>9</v>
      </c>
    </row>
    <row r="12">
      <c r="A12" s="3" t="inlineStr">
        <is>
          <t xml:space="preserve">330</t>
        </is>
      </c>
      <c r="B12" s="3" t="n">
        <v>11</v>
      </c>
      <c r="C12" s="3" t="n">
        <v>7.5</v>
      </c>
      <c r="D12" s="3" t="n">
        <v>5</v>
      </c>
      <c r="E12" s="3" t="n">
        <v>2.5</v>
      </c>
      <c r="F12" s="3" t="n">
        <v>30</v>
      </c>
      <c r="G12" s="3" t="n">
        <v>7.5</v>
      </c>
      <c r="H12" s="3" t="n">
        <v>10</v>
      </c>
    </row>
    <row r="14">
      <c r="A14" s="2" t="inlineStr">
        <is>
          <t xml:space="preserve">Примечание. Габариты проводов — ПУЭ-7 табл. 2.5.20/2.5.22 для нормального режима. Габарит ОКСН 5,0 м — ПУЭ-7 п. 2.4.89 и п. 3.2.4 ТТ № 282р. Охранная зона — ПП РФ № 160.</t>
        </is>
      </c>
    </row>
  </sheetData>
</worksheet>
</file>

<file path=xl/worksheets/sheet11.xml><?xml version="1.0" encoding="utf-8"?>
<worksheet xmlns="http://schemas.openxmlformats.org/spreadsheetml/2006/main">
  <dimension ref="A1:G34"/>
  <sheetViews>
    <sheetView workbookViewId="0">
      <pane xSplit="0" ySplit="3" topLeftCell="A4" activePane="bottomLeft" state="frozen"/>
    </sheetView>
  </sheetViews>
  <cols>
    <col width="30" customWidth="1" min="1" max="1"/>
    <col width="44" customWidth="1" min="2" max="2"/>
    <col width="18" customWidth="1" min="3" max="3"/>
    <col width="18" customWidth="1" min="4" max="4"/>
    <col width="18" customWidth="1" min="5" max="5"/>
    <col width="20" customWidth="1" min="6" max="6"/>
    <col width="34" customWidth="1" min="7" max="7"/>
  </cols>
  <sheetData>
    <row r="1">
      <c r="A1" s="1" t="inlineStr">
        <is>
          <t xml:space="preserve">СПРАВОЧНИК МАРОК РАЗМЕЩАЕМЫХ КАБЕЛЕЙ (ОКСН, ОКГТ, ОКНН, КМЖ и др.)</t>
        </is>
      </c>
    </row>
    <row r="2">
      <c r="A2" s="2" t="inlineStr">
        <is>
          <t xml:space="preserve">Характеристики типовые для класса и подлежат уточнению по паспорту конкретного изделия. Тип элемента и диапазон напряжений — по ТТ № 282р. Свои марки заводятся в разделе «Справочники» рабочего места и в этот лист не переносятся: книга — снимок данных, справочник живёт в самом инструменте.</t>
        </is>
      </c>
    </row>
    <row r="3">
      <c r="A3" s="2" t="inlineStr">
        <is>
          <t xml:space="preserve">Марка</t>
        </is>
      </c>
      <c r="B3" s="2" t="inlineStr">
        <is>
          <t xml:space="preserve">Тип элемента</t>
        </is>
      </c>
      <c r="C3" s="2" t="inlineStr">
        <is>
          <t xml:space="preserve">Наружный диаметр, мм</t>
        </is>
      </c>
      <c r="D3" s="2" t="inlineStr">
        <is>
          <t xml:space="preserve">Погонная масса, кг/км</t>
        </is>
      </c>
      <c r="E3" s="2" t="inlineStr">
        <is>
          <t xml:space="preserve">Допустимое тяжение, кН</t>
        </is>
      </c>
      <c r="F3" s="2" t="inlineStr">
        <is>
          <t xml:space="preserve">Область применения (кВ)</t>
        </is>
      </c>
      <c r="G3" s="2" t="inlineStr">
        <is>
          <t xml:space="preserve">Примечание</t>
        </is>
      </c>
    </row>
    <row r="4">
      <c r="A4" s="3" t="inlineStr">
        <is>
          <t xml:space="preserve">ОКСН-6-2,7</t>
        </is>
      </c>
      <c r="B4" s="3" t="inlineStr">
        <is>
          <t xml:space="preserve">ОКСН — самонесущий неметаллический</t>
        </is>
      </c>
      <c r="C4" s="3" t="n">
        <v>10.5</v>
      </c>
      <c r="D4" s="3" t="n">
        <v>90</v>
      </c>
      <c r="E4" s="3" t="n">
        <v>2.7</v>
      </c>
      <c r="F4" s="3" t="inlineStr">
        <is>
          <t xml:space="preserve">0,4–35</t>
        </is>
      </c>
      <c r="G4" s="3" t="inlineStr">
        <is>
          <t xml:space="preserve">малопролётные, до 50 м</t>
        </is>
      </c>
    </row>
    <row r="5">
      <c r="A5" s="3" t="inlineStr">
        <is>
          <t xml:space="preserve">ОКСН-8-4,0</t>
        </is>
      </c>
      <c r="B5" s="3" t="inlineStr">
        <is>
          <t xml:space="preserve">ОКСН — самонесущий неметаллический</t>
        </is>
      </c>
      <c r="C5" s="3" t="n">
        <v>11.5</v>
      </c>
      <c r="D5" s="3" t="n">
        <v>105</v>
      </c>
      <c r="E5" s="3" t="n">
        <v>4</v>
      </c>
      <c r="F5" s="3" t="inlineStr">
        <is>
          <t xml:space="preserve">0,4–110</t>
        </is>
      </c>
      <c r="G5" s="3" t="inlineStr">
        <is>
          <t xml:space="preserve">типовой пролёт до 70 м</t>
        </is>
      </c>
    </row>
    <row r="6">
      <c r="A6" s="3" t="inlineStr">
        <is>
          <t xml:space="preserve">ОКСН-12-6,0</t>
        </is>
      </c>
      <c r="B6" s="3" t="inlineStr">
        <is>
          <t xml:space="preserve">ОКСН — самонесущий неметаллический</t>
        </is>
      </c>
      <c r="C6" s="3" t="n">
        <v>12.5</v>
      </c>
      <c r="D6" s="3" t="n">
        <v>120</v>
      </c>
      <c r="E6" s="3" t="n">
        <v>6</v>
      </c>
      <c r="F6" s="3" t="inlineStr">
        <is>
          <t xml:space="preserve">0,4–220</t>
        </is>
      </c>
      <c r="G6" s="3" t="inlineStr">
        <is>
          <t xml:space="preserve">пролёты до 100 м</t>
        </is>
      </c>
    </row>
    <row r="7">
      <c r="A7" s="3" t="inlineStr">
        <is>
          <t xml:space="preserve">ОКСН-16-9,0</t>
        </is>
      </c>
      <c r="B7" s="3" t="inlineStr">
        <is>
          <t xml:space="preserve">ОКСН — самонесущий неметаллический</t>
        </is>
      </c>
      <c r="C7" s="3" t="n">
        <v>13.5</v>
      </c>
      <c r="D7" s="3" t="n">
        <v>140</v>
      </c>
      <c r="E7" s="3" t="n">
        <v>9</v>
      </c>
      <c r="F7" s="3" t="inlineStr">
        <is>
          <t xml:space="preserve">35–220</t>
        </is>
      </c>
      <c r="G7" s="3" t="inlineStr">
        <is>
          <t xml:space="preserve">пролёты до 150 м</t>
        </is>
      </c>
    </row>
    <row r="8">
      <c r="A8" s="3" t="inlineStr">
        <is>
          <t xml:space="preserve">ОКСН-24-12</t>
        </is>
      </c>
      <c r="B8" s="3" t="inlineStr">
        <is>
          <t xml:space="preserve">ОКСН — самонесущий неметаллический</t>
        </is>
      </c>
      <c r="C8" s="3" t="n">
        <v>14.5</v>
      </c>
      <c r="D8" s="3" t="n">
        <v>165</v>
      </c>
      <c r="E8" s="3" t="n">
        <v>12</v>
      </c>
      <c r="F8" s="3" t="inlineStr">
        <is>
          <t xml:space="preserve">110–330</t>
        </is>
      </c>
      <c r="G8" s="3" t="inlineStr">
        <is>
          <t xml:space="preserve">большие переходы</t>
        </is>
      </c>
    </row>
    <row r="9">
      <c r="A9" s="3" t="inlineStr">
        <is>
          <t xml:space="preserve">ОКСН-24-20</t>
        </is>
      </c>
      <c r="B9" s="3" t="inlineStr">
        <is>
          <t xml:space="preserve">ОКСН — самонесущий неметаллический</t>
        </is>
      </c>
      <c r="C9" s="3" t="n">
        <v>16</v>
      </c>
      <c r="D9" s="3" t="n">
        <v>195</v>
      </c>
      <c r="E9" s="3" t="n">
        <v>20</v>
      </c>
      <c r="F9" s="3" t="inlineStr">
        <is>
          <t xml:space="preserve">110–330</t>
        </is>
      </c>
      <c r="G9" s="3" t="inlineStr">
        <is>
          <t xml:space="preserve">большие переходы</t>
        </is>
      </c>
    </row>
    <row r="10">
      <c r="A10" s="3" t="inlineStr">
        <is>
          <t xml:space="preserve">ОКГТ-с-1,3</t>
        </is>
      </c>
      <c r="B10" s="3" t="inlineStr">
        <is>
          <t xml:space="preserve">ОКГТ — встроенный в грозозащитный трос</t>
        </is>
      </c>
      <c r="C10" s="3" t="n">
        <v>11.4</v>
      </c>
      <c r="D10" s="3" t="n">
        <v>380</v>
      </c>
      <c r="E10" s="3" t="n">
        <v>40</v>
      </c>
      <c r="F10" s="3" t="inlineStr">
        <is>
          <t xml:space="preserve">35 и выше</t>
        </is>
      </c>
      <c r="G10" s="3" t="inlineStr">
        <is>
          <t xml:space="preserve">замена грозотроса</t>
        </is>
      </c>
    </row>
    <row r="11">
      <c r="A11" s="3" t="inlineStr">
        <is>
          <t xml:space="preserve">ОКГТ-с-1,8</t>
        </is>
      </c>
      <c r="B11" s="3" t="inlineStr">
        <is>
          <t xml:space="preserve">ОКГТ — встроенный в грозозащитный трос</t>
        </is>
      </c>
      <c r="C11" s="3" t="n">
        <v>13.6</v>
      </c>
      <c r="D11" s="3" t="n">
        <v>520</v>
      </c>
      <c r="E11" s="3" t="n">
        <v>55</v>
      </c>
      <c r="F11" s="3" t="inlineStr">
        <is>
          <t xml:space="preserve">110 и выше</t>
        </is>
      </c>
      <c r="G11" s="3" t="inlineStr">
        <is>
          <t xml:space="preserve">замена грозотроса</t>
        </is>
      </c>
    </row>
    <row r="12">
      <c r="A12" s="3" t="inlineStr">
        <is>
          <t xml:space="preserve">ОКГТ-с-2,4</t>
        </is>
      </c>
      <c r="B12" s="3" t="inlineStr">
        <is>
          <t xml:space="preserve">ОКГТ — встроенный в грозозащитный трос</t>
        </is>
      </c>
      <c r="C12" s="3" t="n">
        <v>15.4</v>
      </c>
      <c r="D12" s="3" t="n">
        <v>690</v>
      </c>
      <c r="E12" s="3" t="n">
        <v>75</v>
      </c>
      <c r="F12" s="3" t="inlineStr">
        <is>
          <t xml:space="preserve">220 и выше</t>
        </is>
      </c>
      <c r="G12" s="3" t="inlineStr">
        <is>
          <t xml:space="preserve">замена грозотроса</t>
        </is>
      </c>
    </row>
    <row r="13">
      <c r="A13" s="3" t="inlineStr">
        <is>
          <t xml:space="preserve">ОКНН-навив</t>
        </is>
      </c>
      <c r="B13" s="3" t="inlineStr">
        <is>
          <t xml:space="preserve">ОКНН — навиваемый на фазный провод/СИП</t>
        </is>
      </c>
      <c r="C13" s="3" t="n">
        <v>6</v>
      </c>
      <c r="D13" s="3" t="n">
        <v>45</v>
      </c>
      <c r="E13" s="3" t="n">
        <v>1</v>
      </c>
      <c r="F13" s="3" t="inlineStr">
        <is>
          <t xml:space="preserve">0,4–35</t>
        </is>
      </c>
      <c r="G13" s="3" t="inlineStr">
        <is>
          <t xml:space="preserve">навивка на провод</t>
        </is>
      </c>
    </row>
    <row r="14">
      <c r="A14" s="3" t="inlineStr">
        <is>
          <t xml:space="preserve">ОКНН-прикр</t>
        </is>
      </c>
      <c r="B14" s="3" t="inlineStr">
        <is>
          <t xml:space="preserve">ОКНН — прикрепляемый к несущему элементу</t>
        </is>
      </c>
      <c r="C14" s="3" t="n">
        <v>9</v>
      </c>
      <c r="D14" s="3" t="n">
        <v>70</v>
      </c>
      <c r="E14" s="3" t="n">
        <v>1.5</v>
      </c>
      <c r="F14" s="3" t="inlineStr">
        <is>
          <t xml:space="preserve">0,4–35</t>
        </is>
      </c>
      <c r="G14" s="3" t="inlineStr">
        <is>
          <t xml:space="preserve">прикрепление к СИП</t>
        </is>
      </c>
    </row>
    <row r="15">
      <c r="A15" s="3" t="inlineStr">
        <is>
          <t xml:space="preserve">КМЖ (кабель связи с жилами)</t>
        </is>
      </c>
      <c r="B15" s="3" t="inlineStr">
        <is>
          <t xml:space="preserve">КМЖ — кабель электросвязи с металлическими жилами</t>
        </is>
      </c>
      <c r="C15" s="3" t="n">
        <v>12</v>
      </c>
      <c r="D15" s="3" t="n">
        <v>130</v>
      </c>
      <c r="E15" s="3" t="n">
        <v>3</v>
      </c>
      <c r="F15" s="3" t="inlineStr">
        <is>
          <t xml:space="preserve">0,4 (с СИП)</t>
        </is>
      </c>
      <c r="G15" s="3" t="inlineStr">
        <is>
          <t xml:space="preserve">только ВЛ 0,4 кВ с СИП</t>
        </is>
      </c>
    </row>
    <row r="16">
      <c r="A16" s="3" t="inlineStr">
        <is>
          <t xml:space="preserve">Ответвительный ОК</t>
        </is>
      </c>
      <c r="B16" s="3" t="inlineStr">
        <is>
          <t xml:space="preserve">Ответвительный кабель (в жгуте)</t>
        </is>
      </c>
      <c r="C16" s="3" t="n">
        <v>8</v>
      </c>
      <c r="D16" s="3" t="n">
        <v>60</v>
      </c>
      <c r="E16" s="3" t="n">
        <v>1.2</v>
      </c>
      <c r="F16" s="3" t="inlineStr">
        <is>
          <t xml:space="preserve">0,4–35</t>
        </is>
      </c>
      <c r="G16" s="3" t="inlineStr">
        <is>
          <t xml:space="preserve">в пролёте только в жгуте</t>
        </is>
      </c>
    </row>
    <row r="17">
      <c r="A17" s="3" t="inlineStr">
        <is>
          <t xml:space="preserve">Кабель (тип не определён)</t>
        </is>
      </c>
      <c r="B17" s="3" t="inlineStr">
        <is>
          <t xml:space="preserve">ОК без привязки к типу</t>
        </is>
      </c>
      <c r="C17" s="3" t="n">
        <v>11</v>
      </c>
      <c r="D17" s="3" t="n">
        <v>100</v>
      </c>
      <c r="E17" s="3" t="n">
        <v>3</v>
      </c>
      <c r="F17" s="3" t="inlineStr">
        <is>
          <t xml:space="preserve">—</t>
        </is>
      </c>
      <c r="G17" s="3" t="inlineStr">
        <is>
          <t xml:space="preserve">если тип не установлен при осмотре</t>
        </is>
      </c>
    </row>
    <row r="18">
      <c r="A18" s="3" t="inlineStr">
        <is>
          <t xml:space="preserve">ОРК-4</t>
        </is>
      </c>
      <c r="B18" s="3" t="inlineStr">
        <is>
          <t xml:space="preserve">ОКСН — самонесущий неметаллический</t>
        </is>
      </c>
      <c r="C18" s="3" t="n">
        <v>5</v>
      </c>
      <c r="D18" s="3" t="n">
        <v>25</v>
      </c>
      <c r="E18" s="3" t="n">
        <v>1.2</v>
      </c>
      <c r="F18" s="3" t="inlineStr">
        <is>
          <t xml:space="preserve">0,4</t>
        </is>
      </c>
      <c r="G18" s="3" t="inlineStr">
        <is>
          <t xml:space="preserve">дроп-кабель абонентский, до 40 м</t>
        </is>
      </c>
    </row>
    <row r="19">
      <c r="A19" s="3" t="inlineStr">
        <is>
          <t xml:space="preserve">ОРК-8</t>
        </is>
      </c>
      <c r="B19" s="3" t="inlineStr">
        <is>
          <t xml:space="preserve">ОКСН — самонесущий неметаллический</t>
        </is>
      </c>
      <c r="C19" s="3" t="n">
        <v>5.5</v>
      </c>
      <c r="D19" s="3" t="n">
        <v>30</v>
      </c>
      <c r="E19" s="3" t="n">
        <v>1.2</v>
      </c>
      <c r="F19" s="3" t="inlineStr">
        <is>
          <t xml:space="preserve">0,4</t>
        </is>
      </c>
      <c r="G19" s="3" t="inlineStr">
        <is>
          <t xml:space="preserve">дроп-кабель абонентский, до 40 м</t>
        </is>
      </c>
    </row>
    <row r="20">
      <c r="A20" s="3" t="inlineStr">
        <is>
          <t xml:space="preserve">ОРК-16</t>
        </is>
      </c>
      <c r="B20" s="3" t="inlineStr">
        <is>
          <t xml:space="preserve">ОКСН — самонесущий неметаллический</t>
        </is>
      </c>
      <c r="C20" s="3" t="n">
        <v>6</v>
      </c>
      <c r="D20" s="3" t="n">
        <v>35</v>
      </c>
      <c r="E20" s="3" t="n">
        <v>1.5</v>
      </c>
      <c r="F20" s="3" t="inlineStr">
        <is>
          <t xml:space="preserve">0,4</t>
        </is>
      </c>
      <c r="G20" s="3" t="inlineStr">
        <is>
          <t xml:space="preserve">дроп-кабель абонентский, до 40 м</t>
        </is>
      </c>
    </row>
    <row r="21">
      <c r="A21" s="3" t="inlineStr">
        <is>
          <t xml:space="preserve">ОКП-К-24</t>
        </is>
      </c>
      <c r="B21" s="3" t="inlineStr">
        <is>
          <t xml:space="preserve">ОКСН — самонесущий неметаллический</t>
        </is>
      </c>
      <c r="C21" s="3" t="n">
        <v>12</v>
      </c>
      <c r="D21" s="3" t="n">
        <v>110</v>
      </c>
      <c r="E21" s="3" t="n">
        <v>6</v>
      </c>
      <c r="F21" s="3" t="inlineStr">
        <is>
          <t xml:space="preserve">0,4-110</t>
        </is>
      </c>
      <c r="G21" s="3" t="inlineStr">
        <is>
          <t xml:space="preserve">типовой пролёт до 100 м</t>
        </is>
      </c>
    </row>
    <row r="22">
      <c r="A22" s="3" t="inlineStr">
        <is>
          <t xml:space="preserve">ОКМС-32</t>
        </is>
      </c>
      <c r="B22" s="3" t="inlineStr">
        <is>
          <t xml:space="preserve">ОКСН — самонесущий неметаллический</t>
        </is>
      </c>
      <c r="C22" s="3" t="n">
        <v>12.5</v>
      </c>
      <c r="D22" s="3" t="n">
        <v>120</v>
      </c>
      <c r="E22" s="3" t="n">
        <v>7</v>
      </c>
      <c r="F22" s="3" t="inlineStr">
        <is>
          <t xml:space="preserve">0,4-220</t>
        </is>
      </c>
      <c r="G22" s="3" t="inlineStr">
        <is>
          <t xml:space="preserve">магистральный, пролёты до 120 м</t>
        </is>
      </c>
    </row>
    <row r="23">
      <c r="A23" s="3" t="inlineStr">
        <is>
          <t xml:space="preserve">ОКМС-48</t>
        </is>
      </c>
      <c r="B23" s="3" t="inlineStr">
        <is>
          <t xml:space="preserve">ОКСН — самонесущий неметаллический</t>
        </is>
      </c>
      <c r="C23" s="3" t="n">
        <v>13</v>
      </c>
      <c r="D23" s="3" t="n">
        <v>130</v>
      </c>
      <c r="E23" s="3" t="n">
        <v>7</v>
      </c>
      <c r="F23" s="3" t="inlineStr">
        <is>
          <t xml:space="preserve">0,4-220</t>
        </is>
      </c>
      <c r="G23" s="3" t="inlineStr">
        <is>
          <t xml:space="preserve">магистральный, пролёты до 120 м</t>
        </is>
      </c>
    </row>
    <row r="24">
      <c r="A24" s="3" t="inlineStr">
        <is>
          <t xml:space="preserve">ОКТ-Д(4,0)П-8А1</t>
        </is>
      </c>
      <c r="B24" s="3" t="inlineStr">
        <is>
          <t xml:space="preserve">ОКСН — самонесущий неметаллический</t>
        </is>
      </c>
      <c r="C24" s="3" t="n">
        <v>11</v>
      </c>
      <c r="D24" s="3" t="n">
        <v>95</v>
      </c>
      <c r="E24" s="3" t="n">
        <v>4</v>
      </c>
      <c r="F24" s="3" t="inlineStr">
        <is>
          <t xml:space="preserve">0,4-110</t>
        </is>
      </c>
      <c r="G24" s="3" t="inlineStr">
        <is>
          <t xml:space="preserve">согласно маркировке МДРТ 4 кН</t>
        </is>
      </c>
    </row>
    <row r="25">
      <c r="A25" s="3" t="inlineStr">
        <is>
          <t xml:space="preserve">ОКДК-2Д-П-1У</t>
        </is>
      </c>
      <c r="B25" s="3" t="inlineStr">
        <is>
          <t xml:space="preserve">ОКСН — самонесущий неметаллический</t>
        </is>
      </c>
      <c r="C25" s="3" t="n">
        <v>5</v>
      </c>
      <c r="D25" s="3" t="n">
        <v>25</v>
      </c>
      <c r="E25" s="3" t="n">
        <v>1</v>
      </c>
      <c r="F25" s="3" t="inlineStr">
        <is>
          <t xml:space="preserve">0,4</t>
        </is>
      </c>
      <c r="G25" s="3" t="inlineStr">
        <is>
          <t xml:space="preserve">дроп-кабель круглый, до 35 м</t>
        </is>
      </c>
    </row>
    <row r="26">
      <c r="A26" s="3" t="inlineStr">
        <is>
          <t xml:space="preserve">ОКСНЦ2П-10-01-0,22-8</t>
        </is>
      </c>
      <c r="B26" s="3" t="inlineStr">
        <is>
          <t xml:space="preserve">ОКСН — самонесущий неметаллический</t>
        </is>
      </c>
      <c r="C26" s="3" t="n">
        <v>8.5</v>
      </c>
      <c r="D26" s="3" t="n">
        <v>65</v>
      </c>
      <c r="E26" s="3" t="n">
        <v>2.7</v>
      </c>
      <c r="F26" s="3" t="inlineStr">
        <is>
          <t xml:space="preserve">0,4-35</t>
        </is>
      </c>
      <c r="G26" s="3" t="inlineStr">
        <is>
          <t xml:space="preserve">с центральной трубкой, до 50 м</t>
        </is>
      </c>
    </row>
    <row r="27">
      <c r="A27" s="3" t="inlineStr">
        <is>
          <t xml:space="preserve">ДПТс-П-32У(4х8)</t>
        </is>
      </c>
      <c r="B27" s="3" t="inlineStr">
        <is>
          <t xml:space="preserve">ОКСН — самонесущий неметаллический</t>
        </is>
      </c>
      <c r="C27" s="3" t="n">
        <v>11.5</v>
      </c>
      <c r="D27" s="3" t="n">
        <v>105</v>
      </c>
      <c r="E27" s="3" t="n">
        <v>6</v>
      </c>
      <c r="F27" s="3" t="inlineStr">
        <is>
          <t xml:space="preserve">0,4-220</t>
        </is>
      </c>
      <c r="G27" s="3" t="inlineStr">
        <is>
          <t xml:space="preserve">пролёты до 100 м</t>
        </is>
      </c>
    </row>
    <row r="28">
      <c r="A28" s="3" t="inlineStr">
        <is>
          <t xml:space="preserve">ДПТс-П-48У(6х8)</t>
        </is>
      </c>
      <c r="B28" s="3" t="inlineStr">
        <is>
          <t xml:space="preserve">ОКСН — самонесущий неметаллический</t>
        </is>
      </c>
      <c r="C28" s="3" t="n">
        <v>12.4</v>
      </c>
      <c r="D28" s="3" t="n">
        <v>123</v>
      </c>
      <c r="E28" s="3" t="n">
        <v>6</v>
      </c>
      <c r="F28" s="3" t="inlineStr">
        <is>
          <t xml:space="preserve">0,4-220</t>
        </is>
      </c>
      <c r="G28" s="3" t="inlineStr">
        <is>
          <t xml:space="preserve">пролёты до 100 м</t>
        </is>
      </c>
    </row>
    <row r="29">
      <c r="A29" s="3" t="inlineStr">
        <is>
          <t xml:space="preserve">ОС-М5-8-7,0</t>
        </is>
      </c>
      <c r="B29" s="3" t="inlineStr">
        <is>
          <t xml:space="preserve">ОКСН — самонесущий неметаллический</t>
        </is>
      </c>
      <c r="C29" s="3" t="n">
        <v>12.5</v>
      </c>
      <c r="D29" s="3" t="n">
        <v>120</v>
      </c>
      <c r="E29" s="3" t="n">
        <v>7</v>
      </c>
      <c r="F29" s="3" t="inlineStr">
        <is>
          <t xml:space="preserve">0,4-220</t>
        </is>
      </c>
      <c r="G29" s="3" t="inlineStr">
        <is>
          <t xml:space="preserve">согласно маркировке МДРТ 7 кН</t>
        </is>
      </c>
    </row>
    <row r="30">
      <c r="A30" s="3" t="inlineStr">
        <is>
          <t xml:space="preserve">ОКСНМ-10-01-0,22-32</t>
        </is>
      </c>
      <c r="B30" s="3" t="inlineStr">
        <is>
          <t xml:space="preserve">ОКСН — самонесущий неметаллический</t>
        </is>
      </c>
      <c r="C30" s="3" t="n">
        <v>11.5</v>
      </c>
      <c r="D30" s="3" t="n">
        <v>100</v>
      </c>
      <c r="E30" s="3" t="n">
        <v>6</v>
      </c>
      <c r="F30" s="3" t="inlineStr">
        <is>
          <t xml:space="preserve">0,4-110</t>
        </is>
      </c>
      <c r="G30" s="3" t="inlineStr">
        <is>
          <t xml:space="preserve">многомодульный, до 100 м</t>
        </is>
      </c>
    </row>
    <row r="31">
      <c r="A31" s="3" t="inlineStr">
        <is>
          <t xml:space="preserve">ОКСНМ-10-01-0,22-16</t>
        </is>
      </c>
      <c r="B31" s="3" t="inlineStr">
        <is>
          <t xml:space="preserve">ОКСН — самонесущий неметаллический</t>
        </is>
      </c>
      <c r="C31" s="3" t="n">
        <v>10.5</v>
      </c>
      <c r="D31" s="3" t="n">
        <v>90</v>
      </c>
      <c r="E31" s="3" t="n">
        <v>6</v>
      </c>
      <c r="F31" s="3" t="inlineStr">
        <is>
          <t xml:space="preserve">0,4-110</t>
        </is>
      </c>
      <c r="G31" s="3" t="inlineStr">
        <is>
          <t xml:space="preserve">многомодульный, до 100 м</t>
        </is>
      </c>
    </row>
    <row r="32">
      <c r="A32" s="3" t="inlineStr">
        <is>
          <t xml:space="preserve">ОКСНМ-10-01-0,22-8</t>
        </is>
      </c>
      <c r="B32" s="3" t="inlineStr">
        <is>
          <t xml:space="preserve">ОКСН — самонесущий неметаллический</t>
        </is>
      </c>
      <c r="C32" s="3" t="n">
        <v>10.5</v>
      </c>
      <c r="D32" s="3" t="n">
        <v>90</v>
      </c>
      <c r="E32" s="3" t="n">
        <v>6</v>
      </c>
      <c r="F32" s="3" t="inlineStr">
        <is>
          <t xml:space="preserve">0,4-110</t>
        </is>
      </c>
      <c r="G32" s="3" t="inlineStr">
        <is>
          <t xml:space="preserve">многомодульный, до 100 м</t>
        </is>
      </c>
    </row>
    <row r="33">
      <c r="A33" s="3" t="inlineStr">
        <is>
          <t xml:space="preserve">ОККС-0,22-48</t>
        </is>
      </c>
      <c r="B33" s="3" t="inlineStr">
        <is>
          <t xml:space="preserve">ОКСН — самонесущий неметаллический</t>
        </is>
      </c>
      <c r="C33" s="3" t="n">
        <v>12</v>
      </c>
      <c r="D33" s="3" t="n">
        <v>115</v>
      </c>
      <c r="E33" s="3" t="n">
        <v>6</v>
      </c>
      <c r="F33" s="3" t="inlineStr">
        <is>
          <t xml:space="preserve">0,4-110</t>
        </is>
      </c>
      <c r="G33" s="3" t="inlineStr">
        <is>
          <t xml:space="preserve">типовой пролёт до 100 м</t>
        </is>
      </c>
    </row>
    <row r="34">
      <c r="A34" s="3" t="inlineStr">
        <is>
          <t xml:space="preserve">ОСКД-к-8Е2-3,0</t>
        </is>
      </c>
      <c r="B34" s="3" t="inlineStr">
        <is>
          <t xml:space="preserve">ОКСН — самонесущий неметаллический</t>
        </is>
      </c>
      <c r="C34" s="3" t="n">
        <v>9.5</v>
      </c>
      <c r="D34" s="3" t="n">
        <v>75</v>
      </c>
      <c r="E34" s="3" t="n">
        <v>3</v>
      </c>
      <c r="F34" s="3" t="inlineStr">
        <is>
          <t xml:space="preserve">0,4-35</t>
        </is>
      </c>
      <c r="G34" s="3" t="inlineStr">
        <is>
          <t xml:space="preserve">согласно маркировке МДРТ 3 кН</t>
        </is>
      </c>
    </row>
  </sheetData>
</worksheet>
</file>

<file path=xl/worksheets/sheet12.xml><?xml version="1.0" encoding="utf-8"?>
<worksheet xmlns="http://schemas.openxmlformats.org/spreadsheetml/2006/main">
  <dimension ref="A1:O145"/>
  <sheetViews>
    <sheetView workbookViewId="0">
      <pane xSplit="0" ySplit="3" topLeftCell="A4" activePane="bottomLeft" state="frozen"/>
    </sheetView>
  </sheetViews>
  <cols>
    <col width="14" customWidth="1" min="1" max="1"/>
    <col width="34" customWidth="1" min="2" max="2"/>
    <col width="26" customWidth="1" min="3" max="3"/>
    <col width="36" customWidth="1" min="4" max="4"/>
    <col width="26" customWidth="1" min="5" max="5"/>
    <col width="20" customWidth="1" min="6" max="6"/>
    <col width="22" customWidth="1" min="7" max="7"/>
    <col width="16" customWidth="1" min="8" max="8"/>
    <col width="14" customWidth="1" min="9" max="9"/>
    <col width="16" customWidth="1" min="10" max="10"/>
    <col width="24" customWidth="1" min="11" max="11"/>
    <col width="3" customWidth="1" min="12" max="12"/>
    <col width="10" customWidth="1" min="13" max="13"/>
    <col width="16" customWidth="1" min="14" max="14"/>
    <col width="46" customWidth="1" min="15" max="15"/>
  </cols>
  <sheetData>
    <row r="1">
      <c r="A1" s="1" t="inlineStr">
        <is>
          <t xml:space="preserve">СПРАВОЧНИК МАРОК ОПОР ПО ТИПОВЫМ ПРОЕКТАМ</t>
        </is>
      </c>
    </row>
    <row r="2">
      <c r="A2" s="2" t="inlineStr">
        <is>
          <t xml:space="preserve">Допустимый изгибающий момент задан ПО СТОЙКЕ, а не по назначению опоры: одна и та же стойка не может иметь разные допустимые моменты. Подкосы, вторая стойка и оттяжки анкерных опор в запас несущей способности не учитываются. Момент от тяжения на анкерных, угловых, концевых и ответвительных опорах считается отдельно — см. графу «Схема». Отметка «по аналогии» в графе K означает, что момент, высота подвеса и габаритный пролёт приняты по стойке-аналогу: марка, назначение, серия и стойка взяты из типового проекта, а расчётные величины перед выпуском отчёта подтверждаются по проекту.</t>
        </is>
      </c>
    </row>
    <row r="3">
      <c r="A3" s="2" t="inlineStr">
        <is>
          <t xml:space="preserve">Класс напряжения, кВ</t>
        </is>
      </c>
      <c r="B3" s="2" t="inlineStr">
        <is>
          <t xml:space="preserve">Марка опоры</t>
        </is>
      </c>
      <c r="C3" s="2" t="inlineStr">
        <is>
          <t xml:space="preserve">Материал</t>
        </is>
      </c>
      <c r="D3" s="2" t="inlineStr">
        <is>
          <t xml:space="preserve">Тип по назначению</t>
        </is>
      </c>
      <c r="E3" s="2" t="inlineStr">
        <is>
          <t xml:space="preserve">Типовой проект / серия</t>
        </is>
      </c>
      <c r="F3" s="2" t="inlineStr">
        <is>
          <t xml:space="preserve">Стойка</t>
        </is>
      </c>
      <c r="G3" s="2" t="inlineStr">
        <is>
          <t xml:space="preserve">Схема (учёт тяжения)</t>
        </is>
      </c>
      <c r="H3" s="2" t="inlineStr">
        <is>
          <t xml:space="preserve">Доп. изгибающий момент стойки, кН·м</t>
        </is>
      </c>
      <c r="I3" s="2" t="inlineStr">
        <is>
          <t xml:space="preserve">Высота подвеса, м</t>
        </is>
      </c>
      <c r="J3" s="2" t="inlineStr">
        <is>
          <t xml:space="preserve">Габаритный пролёт, м</t>
        </is>
      </c>
      <c r="K3" s="2" t="inlineStr">
        <is>
          <t xml:space="preserve">Источник расчётных величин</t>
        </is>
      </c>
      <c r="M3" s="27" t="inlineStr">
        <is>
          <t xml:space="preserve">Класс</t>
        </is>
      </c>
      <c r="N3" s="27" t="inlineStr">
        <is>
          <t xml:space="preserve">Имя диапазона</t>
        </is>
      </c>
      <c r="O3" s="27" t="inlineStr">
        <is>
          <t xml:space="preserve">Примечание к перечню</t>
        </is>
      </c>
    </row>
    <row r="4">
      <c r="A4" s="3" t="inlineStr">
        <is>
          <t xml:space="preserve">0,4</t>
        </is>
      </c>
      <c r="B4" s="3" t="inlineStr">
        <is>
          <t xml:space="preserve">П8-1</t>
        </is>
      </c>
      <c r="C4" s="3" t="inlineStr">
        <is>
          <t xml:space="preserve">Железобетонная</t>
        </is>
      </c>
      <c r="D4" s="3" t="inlineStr">
        <is>
          <t xml:space="preserve">Промежуточная</t>
        </is>
      </c>
      <c r="E4" s="3" t="inlineStr">
        <is>
          <t xml:space="preserve">3.407.1-136 вып.1</t>
        </is>
      </c>
      <c r="F4" s="3" t="inlineStr">
        <is>
          <t xml:space="preserve">СВ95-2</t>
        </is>
      </c>
      <c r="G4" s="3" t="inlineStr">
        <is>
          <t xml:space="preserve">промежуточная</t>
        </is>
      </c>
      <c r="H4" s="3" t="n">
        <v>20</v>
      </c>
      <c r="I4" s="3" t="n">
        <v>7</v>
      </c>
      <c r="J4" s="3" t="n">
        <v>40</v>
      </c>
      <c r="K4" s="3" t="inlineStr">
        <is>
          <t xml:space="preserve">типовой проект</t>
        </is>
      </c>
      <c r="M4" t="inlineStr">
        <is>
          <t xml:space="preserve">0,4</t>
        </is>
      </c>
      <c r="N4" t="inlineStr">
        <is>
          <t xml:space="preserve">Опоры_0_4</t>
        </is>
      </c>
    </row>
    <row r="5">
      <c r="A5" s="3" t="inlineStr">
        <is>
          <t xml:space="preserve">0,4</t>
        </is>
      </c>
      <c r="B5" s="3" t="inlineStr">
        <is>
          <t xml:space="preserve">П8-2</t>
        </is>
      </c>
      <c r="C5" s="3" t="inlineStr">
        <is>
          <t xml:space="preserve">Железобетонная</t>
        </is>
      </c>
      <c r="D5" s="3" t="inlineStr">
        <is>
          <t xml:space="preserve">Промежуточная (насел.)</t>
        </is>
      </c>
      <c r="E5" s="3" t="inlineStr">
        <is>
          <t xml:space="preserve">3.407.1-136 вып.1</t>
        </is>
      </c>
      <c r="F5" s="3" t="inlineStr">
        <is>
          <t xml:space="preserve">СВ95-2</t>
        </is>
      </c>
      <c r="G5" s="3" t="inlineStr">
        <is>
          <t xml:space="preserve">промежуточная</t>
        </is>
      </c>
      <c r="H5" s="3" t="n">
        <v>20</v>
      </c>
      <c r="I5" s="3" t="n">
        <v>7</v>
      </c>
      <c r="J5" s="3" t="n">
        <v>40</v>
      </c>
      <c r="K5" s="3" t="inlineStr">
        <is>
          <t xml:space="preserve">типовой проект</t>
        </is>
      </c>
      <c r="M5" t="inlineStr">
        <is>
          <t xml:space="preserve">6</t>
        </is>
      </c>
      <c r="N5" t="inlineStr">
        <is>
          <t xml:space="preserve">Опоры_6</t>
        </is>
      </c>
    </row>
    <row r="6">
      <c r="A6" s="3" t="inlineStr">
        <is>
          <t xml:space="preserve">0,4</t>
        </is>
      </c>
      <c r="B6" s="3" t="inlineStr">
        <is>
          <t xml:space="preserve">УП8-1</t>
        </is>
      </c>
      <c r="C6" s="3" t="inlineStr">
        <is>
          <t xml:space="preserve">Железобетонная</t>
        </is>
      </c>
      <c r="D6" s="3" t="inlineStr">
        <is>
          <t xml:space="preserve">Промежуточно-угловая</t>
        </is>
      </c>
      <c r="E6" s="3" t="inlineStr">
        <is>
          <t xml:space="preserve">3.407.1-136 вып.1</t>
        </is>
      </c>
      <c r="F6" s="3" t="inlineStr">
        <is>
          <t xml:space="preserve">СВ95-2</t>
        </is>
      </c>
      <c r="G6" s="3" t="inlineStr">
        <is>
          <t xml:space="preserve">угловая</t>
        </is>
      </c>
      <c r="H6" s="3" t="n">
        <v>20</v>
      </c>
      <c r="I6" s="3" t="n">
        <v>7</v>
      </c>
      <c r="J6" s="3" t="n">
        <v>40</v>
      </c>
      <c r="K6" s="3" t="inlineStr">
        <is>
          <t xml:space="preserve">типовой проект</t>
        </is>
      </c>
      <c r="M6" t="inlineStr">
        <is>
          <t xml:space="preserve">10</t>
        </is>
      </c>
      <c r="N6" t="inlineStr">
        <is>
          <t xml:space="preserve">Опоры_10</t>
        </is>
      </c>
    </row>
    <row r="7">
      <c r="A7" s="3" t="inlineStr">
        <is>
          <t xml:space="preserve">0,4</t>
        </is>
      </c>
      <c r="B7" s="3" t="inlineStr">
        <is>
          <t xml:space="preserve">А8-1</t>
        </is>
      </c>
      <c r="C7" s="3" t="inlineStr">
        <is>
          <t xml:space="preserve">Железобетонная</t>
        </is>
      </c>
      <c r="D7" s="3" t="inlineStr">
        <is>
          <t xml:space="preserve">Анкерная (концевая)</t>
        </is>
      </c>
      <c r="E7" s="3" t="inlineStr">
        <is>
          <t xml:space="preserve">3.407.1-136 вып.1</t>
        </is>
      </c>
      <c r="F7" s="3" t="inlineStr">
        <is>
          <t xml:space="preserve">СВ95-2</t>
        </is>
      </c>
      <c r="G7" s="3" t="inlineStr">
        <is>
          <t xml:space="preserve">анкерная</t>
        </is>
      </c>
      <c r="H7" s="3" t="n">
        <v>20</v>
      </c>
      <c r="I7" s="3" t="n">
        <v>7</v>
      </c>
      <c r="J7" s="3" t="n">
        <v>40</v>
      </c>
      <c r="K7" s="3" t="inlineStr">
        <is>
          <t xml:space="preserve">типовой проект</t>
        </is>
      </c>
      <c r="M7" t="inlineStr">
        <is>
          <t xml:space="preserve">10/0,4</t>
        </is>
      </c>
      <c r="N7" t="inlineStr">
        <is>
          <t xml:space="preserve">Опоры_10_0_4</t>
        </is>
      </c>
    </row>
    <row r="8">
      <c r="A8" s="3" t="inlineStr">
        <is>
          <t xml:space="preserve">0,4</t>
        </is>
      </c>
      <c r="B8" s="3" t="inlineStr">
        <is>
          <t xml:space="preserve">УА8-1</t>
        </is>
      </c>
      <c r="C8" s="3" t="inlineStr">
        <is>
          <t xml:space="preserve">Железобетонная</t>
        </is>
      </c>
      <c r="D8" s="3" t="inlineStr">
        <is>
          <t xml:space="preserve">Анкерная угловая</t>
        </is>
      </c>
      <c r="E8" s="3" t="inlineStr">
        <is>
          <t xml:space="preserve">3.407.1-136 вып.1</t>
        </is>
      </c>
      <c r="F8" s="3" t="inlineStr">
        <is>
          <t xml:space="preserve">СВ95-2</t>
        </is>
      </c>
      <c r="G8" s="3" t="inlineStr">
        <is>
          <t xml:space="preserve">угловая анкерная</t>
        </is>
      </c>
      <c r="H8" s="3" t="n">
        <v>20</v>
      </c>
      <c r="I8" s="3" t="n">
        <v>7</v>
      </c>
      <c r="J8" s="3" t="n">
        <v>40</v>
      </c>
      <c r="K8" s="3" t="inlineStr">
        <is>
          <t xml:space="preserve">типовой проект</t>
        </is>
      </c>
      <c r="M8" t="inlineStr">
        <is>
          <t xml:space="preserve">35</t>
        </is>
      </c>
      <c r="N8" t="inlineStr">
        <is>
          <t xml:space="preserve">Опоры_35</t>
        </is>
      </c>
    </row>
    <row r="9">
      <c r="A9" s="3" t="inlineStr">
        <is>
          <t xml:space="preserve">0,4</t>
        </is>
      </c>
      <c r="B9" s="3" t="inlineStr">
        <is>
          <t xml:space="preserve">ОА8-1</t>
        </is>
      </c>
      <c r="C9" s="3" t="inlineStr">
        <is>
          <t xml:space="preserve">Железобетонная</t>
        </is>
      </c>
      <c r="D9" s="3" t="inlineStr">
        <is>
          <t xml:space="preserve">Ответвительная анкерная</t>
        </is>
      </c>
      <c r="E9" s="3" t="inlineStr">
        <is>
          <t xml:space="preserve">3.407.1-136 вып.1</t>
        </is>
      </c>
      <c r="F9" s="3" t="inlineStr">
        <is>
          <t xml:space="preserve">СВ95-2</t>
        </is>
      </c>
      <c r="G9" s="3" t="inlineStr">
        <is>
          <t xml:space="preserve">ответвительная</t>
        </is>
      </c>
      <c r="H9" s="3" t="n">
        <v>20</v>
      </c>
      <c r="I9" s="3" t="n">
        <v>7</v>
      </c>
      <c r="J9" s="3" t="n">
        <v>40</v>
      </c>
      <c r="K9" s="3" t="inlineStr">
        <is>
          <t xml:space="preserve">типовой проект</t>
        </is>
      </c>
      <c r="M9" t="inlineStr">
        <is>
          <t xml:space="preserve">110</t>
        </is>
      </c>
      <c r="N9" t="inlineStr">
        <is>
          <t xml:space="preserve">Опоры_110</t>
        </is>
      </c>
    </row>
    <row r="10">
      <c r="A10" s="3" t="inlineStr">
        <is>
          <t xml:space="preserve">0,4</t>
        </is>
      </c>
      <c r="B10" s="3" t="inlineStr">
        <is>
          <t xml:space="preserve">КА8-1</t>
        </is>
      </c>
      <c r="C10" s="3" t="inlineStr">
        <is>
          <t xml:space="preserve">Железобетонная</t>
        </is>
      </c>
      <c r="D10" s="3" t="inlineStr">
        <is>
          <t xml:space="preserve">Концевая анкерная</t>
        </is>
      </c>
      <c r="E10" s="3" t="inlineStr">
        <is>
          <t xml:space="preserve">3.407.1-136 вып.1</t>
        </is>
      </c>
      <c r="F10" s="3" t="inlineStr">
        <is>
          <t xml:space="preserve">СВ95-2</t>
        </is>
      </c>
      <c r="G10" s="3" t="inlineStr">
        <is>
          <t xml:space="preserve">концевая</t>
        </is>
      </c>
      <c r="H10" s="3" t="n">
        <v>20</v>
      </c>
      <c r="I10" s="3" t="n">
        <v>7</v>
      </c>
      <c r="J10" s="3" t="n">
        <v>40</v>
      </c>
      <c r="K10" s="3" t="inlineStr">
        <is>
          <t xml:space="preserve">типовой проект</t>
        </is>
      </c>
      <c r="M10" t="inlineStr">
        <is>
          <t xml:space="preserve">20</t>
        </is>
      </c>
      <c r="N10" t="inlineStr">
        <is>
          <t xml:space="preserve">Опоры_10</t>
        </is>
      </c>
      <c r="O10" t="inlineStr">
        <is>
          <t xml:space="preserve">своих марок нет — показан перечень 10 кВ (серии 6—20 кВ общие)</t>
        </is>
      </c>
    </row>
    <row r="11">
      <c r="A11" s="3" t="inlineStr">
        <is>
          <t xml:space="preserve">0,4</t>
        </is>
      </c>
      <c r="B11" s="3" t="inlineStr">
        <is>
          <t xml:space="preserve">П8-3</t>
        </is>
      </c>
      <c r="C11" s="3" t="inlineStr">
        <is>
          <t xml:space="preserve">Железобетонная</t>
        </is>
      </c>
      <c r="D11" s="3" t="inlineStr">
        <is>
          <t xml:space="preserve">Промежуточная</t>
        </is>
      </c>
      <c r="E11" s="3" t="inlineStr">
        <is>
          <t xml:space="preserve">3.407.1-136 вып.3</t>
        </is>
      </c>
      <c r="F11" s="3" t="inlineStr">
        <is>
          <t xml:space="preserve">СВ110-3,5</t>
        </is>
      </c>
      <c r="G11" s="3" t="inlineStr">
        <is>
          <t xml:space="preserve">промежуточная</t>
        </is>
      </c>
      <c r="H11" s="3" t="n">
        <v>26</v>
      </c>
      <c r="I11" s="3" t="n">
        <v>7.5</v>
      </c>
      <c r="J11" s="3" t="n">
        <v>45</v>
      </c>
      <c r="K11" s="3" t="inlineStr">
        <is>
          <t xml:space="preserve">типовой проект</t>
        </is>
      </c>
      <c r="M11" t="inlineStr">
        <is>
          <t xml:space="preserve">150</t>
        </is>
      </c>
      <c r="N11" t="inlineStr">
        <is>
          <t xml:space="preserve">Опоры_110</t>
        </is>
      </c>
      <c r="O11" t="inlineStr">
        <is>
          <t xml:space="preserve">своих марок нет — показан перечень 110 кВ</t>
        </is>
      </c>
    </row>
    <row r="12">
      <c r="A12" s="3" t="inlineStr">
        <is>
          <t xml:space="preserve">0,4</t>
        </is>
      </c>
      <c r="B12" s="3" t="inlineStr">
        <is>
          <t xml:space="preserve">УА8-3</t>
        </is>
      </c>
      <c r="C12" s="3" t="inlineStr">
        <is>
          <t xml:space="preserve">Железобетонная</t>
        </is>
      </c>
      <c r="D12" s="3" t="inlineStr">
        <is>
          <t xml:space="preserve">Анкерная угловая</t>
        </is>
      </c>
      <c r="E12" s="3" t="inlineStr">
        <is>
          <t xml:space="preserve">3.407.1-136 вып.3</t>
        </is>
      </c>
      <c r="F12" s="3" t="inlineStr">
        <is>
          <t xml:space="preserve">СВ110-3,5</t>
        </is>
      </c>
      <c r="G12" s="3" t="inlineStr">
        <is>
          <t xml:space="preserve">угловая анкерная</t>
        </is>
      </c>
      <c r="H12" s="3" t="n">
        <v>26</v>
      </c>
      <c r="I12" s="3" t="n">
        <v>7.5</v>
      </c>
      <c r="J12" s="3" t="n">
        <v>45</v>
      </c>
      <c r="K12" s="3" t="inlineStr">
        <is>
          <t xml:space="preserve">типовой проект</t>
        </is>
      </c>
      <c r="M12" t="inlineStr">
        <is>
          <t xml:space="preserve">220</t>
        </is>
      </c>
      <c r="N12" t="inlineStr">
        <is>
          <t xml:space="preserve">Опоры_110</t>
        </is>
      </c>
      <c r="O12" t="inlineStr">
        <is>
          <t xml:space="preserve">своих марок нет — показан перечень 110 кВ</t>
        </is>
      </c>
    </row>
    <row r="13">
      <c r="A13" s="3" t="inlineStr">
        <is>
          <t xml:space="preserve">0,4</t>
        </is>
      </c>
      <c r="B13" s="3" t="inlineStr">
        <is>
          <t xml:space="preserve">Опора 0,4 (дерев.)</t>
        </is>
      </c>
      <c r="C13" s="3" t="inlineStr">
        <is>
          <t xml:space="preserve">Деревянная</t>
        </is>
      </c>
      <c r="D13" s="3" t="inlineStr">
        <is>
          <t xml:space="preserve">Промежуточная</t>
        </is>
      </c>
      <c r="E13" s="3" t="inlineStr">
        <is>
          <t xml:space="preserve">по проекту (дерев.)</t>
        </is>
      </c>
      <c r="F13" s="3" t="inlineStr">
        <is>
          <t xml:space="preserve">бревно d ≥ 160</t>
        </is>
      </c>
      <c r="G13" s="3" t="inlineStr">
        <is>
          <t xml:space="preserve">промежуточная</t>
        </is>
      </c>
      <c r="H13" s="3" t="n">
        <v>14</v>
      </c>
      <c r="I13" s="3" t="n">
        <v>6.5</v>
      </c>
      <c r="J13" s="3" t="n">
        <v>40</v>
      </c>
      <c r="K13" s="3" t="inlineStr">
        <is>
          <t xml:space="preserve">типовой проект</t>
        </is>
      </c>
      <c r="M13" t="inlineStr">
        <is>
          <t xml:space="preserve">330</t>
        </is>
      </c>
      <c r="N13" t="inlineStr">
        <is>
          <t xml:space="preserve">Опоры_110</t>
        </is>
      </c>
      <c r="O13" t="inlineStr">
        <is>
          <t xml:space="preserve">своих марок нет — показан перечень 110 кВ</t>
        </is>
      </c>
    </row>
    <row r="14">
      <c r="A14" s="3" t="inlineStr">
        <is>
          <t xml:space="preserve">0,4</t>
        </is>
      </c>
      <c r="B14" s="3" t="inlineStr">
        <is>
          <t xml:space="preserve">Опора 0,4 (дерев. на приставке)</t>
        </is>
      </c>
      <c r="C14" s="3" t="inlineStr">
        <is>
          <t xml:space="preserve">Деревянная на ж/б приставке</t>
        </is>
      </c>
      <c r="D14" s="3" t="inlineStr">
        <is>
          <t xml:space="preserve">Промежуточная</t>
        </is>
      </c>
      <c r="E14" s="3" t="inlineStr">
        <is>
          <t xml:space="preserve">по проекту</t>
        </is>
      </c>
      <c r="F14" s="3" t="inlineStr">
        <is>
          <t xml:space="preserve">приставка ПТ-33</t>
        </is>
      </c>
      <c r="G14" s="3" t="inlineStr">
        <is>
          <t xml:space="preserve">промежуточная</t>
        </is>
      </c>
      <c r="H14" s="3" t="n">
        <v>18</v>
      </c>
      <c r="I14" s="3" t="n">
        <v>7</v>
      </c>
      <c r="J14" s="3" t="n">
        <v>40</v>
      </c>
      <c r="K14" s="3" t="inlineStr">
        <is>
          <t xml:space="preserve">типовой проект</t>
        </is>
      </c>
    </row>
    <row r="15">
      <c r="A15" s="3" t="inlineStr">
        <is>
          <t xml:space="preserve">0,4</t>
        </is>
      </c>
      <c r="B15" s="3" t="inlineStr">
        <is>
          <t xml:space="preserve">П23</t>
        </is>
      </c>
      <c r="C15" s="3" t="inlineStr">
        <is>
          <t xml:space="preserve">Железобетонная</t>
        </is>
      </c>
      <c r="D15" s="3" t="inlineStr">
        <is>
          <t xml:space="preserve">Промежуточная</t>
        </is>
      </c>
      <c r="E15" s="3" t="inlineStr">
        <is>
          <t xml:space="preserve">21.0045 (ВЛИ 0,4 кВ)</t>
        </is>
      </c>
      <c r="F15" s="3" t="inlineStr">
        <is>
          <t xml:space="preserve">СВ-95-2</t>
        </is>
      </c>
      <c r="G15" s="3" t="inlineStr">
        <is>
          <t xml:space="preserve">промежуточная</t>
        </is>
      </c>
      <c r="H15" s="3" t="n">
        <v>20</v>
      </c>
      <c r="I15" s="3" t="n">
        <v>7</v>
      </c>
      <c r="J15" s="3" t="n">
        <v>40</v>
      </c>
      <c r="K15" s="3" t="inlineStr">
        <is>
          <t xml:space="preserve">типовой проект</t>
        </is>
      </c>
    </row>
    <row r="16">
      <c r="A16" s="3" t="inlineStr">
        <is>
          <t xml:space="preserve">0,4</t>
        </is>
      </c>
      <c r="B16" s="3" t="inlineStr">
        <is>
          <t xml:space="preserve">П24</t>
        </is>
      </c>
      <c r="C16" s="3" t="inlineStr">
        <is>
          <t xml:space="preserve">Железобетонная</t>
        </is>
      </c>
      <c r="D16" s="3" t="inlineStr">
        <is>
          <t xml:space="preserve">Промежуточная двухцепная</t>
        </is>
      </c>
      <c r="E16" s="3" t="inlineStr">
        <is>
          <t xml:space="preserve">25.0017</t>
        </is>
      </c>
      <c r="F16" s="3" t="inlineStr">
        <is>
          <t xml:space="preserve">СВ95-2</t>
        </is>
      </c>
      <c r="G16" s="3" t="inlineStr">
        <is>
          <t xml:space="preserve">промежуточная</t>
        </is>
      </c>
      <c r="H16" s="3" t="n">
        <v>20</v>
      </c>
      <c r="I16" s="3" t="n">
        <v>7</v>
      </c>
      <c r="J16" s="3" t="n">
        <v>40</v>
      </c>
      <c r="K16" s="3" t="inlineStr">
        <is>
          <t xml:space="preserve">по аналогии со стойкой</t>
        </is>
      </c>
    </row>
    <row r="17">
      <c r="A17" s="3" t="inlineStr">
        <is>
          <t xml:space="preserve">0,4</t>
        </is>
      </c>
      <c r="B17" s="3" t="inlineStr">
        <is>
          <t xml:space="preserve">ПП23</t>
        </is>
      </c>
      <c r="C17" s="3" t="inlineStr">
        <is>
          <t xml:space="preserve">Железобетонная</t>
        </is>
      </c>
      <c r="D17" s="3" t="inlineStr">
        <is>
          <t xml:space="preserve">Переходная промежуточная одноцепная</t>
        </is>
      </c>
      <c r="E17" s="3" t="inlineStr">
        <is>
          <t xml:space="preserve">25.0017</t>
        </is>
      </c>
      <c r="F17" s="3" t="inlineStr">
        <is>
          <t xml:space="preserve">СВ105</t>
        </is>
      </c>
      <c r="G17" s="3" t="inlineStr">
        <is>
          <t xml:space="preserve">промежуточная</t>
        </is>
      </c>
      <c r="H17" s="3" t="n">
        <v>35</v>
      </c>
      <c r="I17" s="3" t="n">
        <v>8</v>
      </c>
      <c r="J17" s="3" t="n">
        <v>50</v>
      </c>
      <c r="K17" s="3" t="inlineStr">
        <is>
          <t xml:space="preserve">по аналогии со стойкой</t>
        </is>
      </c>
    </row>
    <row r="18">
      <c r="A18" s="3" t="inlineStr">
        <is>
          <t xml:space="preserve">0,4</t>
        </is>
      </c>
      <c r="B18" s="3" t="inlineStr">
        <is>
          <t xml:space="preserve">ПП24</t>
        </is>
      </c>
      <c r="C18" s="3" t="inlineStr">
        <is>
          <t xml:space="preserve">Железобетонная</t>
        </is>
      </c>
      <c r="D18" s="3" t="inlineStr">
        <is>
          <t xml:space="preserve">Переходная промежуточная двухцепная</t>
        </is>
      </c>
      <c r="E18" s="3" t="inlineStr">
        <is>
          <t xml:space="preserve">25.0017</t>
        </is>
      </c>
      <c r="F18" s="3" t="inlineStr">
        <is>
          <t xml:space="preserve">СВ105</t>
        </is>
      </c>
      <c r="G18" s="3" t="inlineStr">
        <is>
          <t xml:space="preserve">промежуточная</t>
        </is>
      </c>
      <c r="H18" s="3" t="n">
        <v>35</v>
      </c>
      <c r="I18" s="3" t="n">
        <v>8</v>
      </c>
      <c r="J18" s="3" t="n">
        <v>50</v>
      </c>
      <c r="K18" s="3" t="inlineStr">
        <is>
          <t xml:space="preserve">по аналогии со стойкой</t>
        </is>
      </c>
    </row>
    <row r="19">
      <c r="A19" s="3" t="inlineStr">
        <is>
          <t xml:space="preserve">0,4</t>
        </is>
      </c>
      <c r="B19" s="3" t="inlineStr">
        <is>
          <t xml:space="preserve">УП23</t>
        </is>
      </c>
      <c r="C19" s="3" t="inlineStr">
        <is>
          <t xml:space="preserve">Железобетонная</t>
        </is>
      </c>
      <c r="D19" s="3" t="inlineStr">
        <is>
          <t xml:space="preserve">Промежуточно-угловая одноцепная</t>
        </is>
      </c>
      <c r="E19" s="3" t="inlineStr">
        <is>
          <t xml:space="preserve">25.0017</t>
        </is>
      </c>
      <c r="F19" s="3" t="inlineStr">
        <is>
          <t xml:space="preserve">СВ95-2</t>
        </is>
      </c>
      <c r="G19" s="3" t="inlineStr">
        <is>
          <t xml:space="preserve">угловая</t>
        </is>
      </c>
      <c r="H19" s="3" t="n">
        <v>20</v>
      </c>
      <c r="I19" s="3" t="n">
        <v>7</v>
      </c>
      <c r="J19" s="3" t="n">
        <v>40</v>
      </c>
      <c r="K19" s="3" t="inlineStr">
        <is>
          <t xml:space="preserve">по аналогии со стойкой</t>
        </is>
      </c>
    </row>
    <row r="20">
      <c r="A20" s="3" t="inlineStr">
        <is>
          <t xml:space="preserve">0,4</t>
        </is>
      </c>
      <c r="B20" s="3" t="inlineStr">
        <is>
          <t xml:space="preserve">УП24</t>
        </is>
      </c>
      <c r="C20" s="3" t="inlineStr">
        <is>
          <t xml:space="preserve">Железобетонная</t>
        </is>
      </c>
      <c r="D20" s="3" t="inlineStr">
        <is>
          <t xml:space="preserve">Промежуточно-угловая двухцепная</t>
        </is>
      </c>
      <c r="E20" s="3" t="inlineStr">
        <is>
          <t xml:space="preserve">25.0017</t>
        </is>
      </c>
      <c r="F20" s="3" t="inlineStr">
        <is>
          <t xml:space="preserve">СВ95-2</t>
        </is>
      </c>
      <c r="G20" s="3" t="inlineStr">
        <is>
          <t xml:space="preserve">угловая</t>
        </is>
      </c>
      <c r="H20" s="3" t="n">
        <v>20</v>
      </c>
      <c r="I20" s="3" t="n">
        <v>7</v>
      </c>
      <c r="J20" s="3" t="n">
        <v>40</v>
      </c>
      <c r="K20" s="3" t="inlineStr">
        <is>
          <t xml:space="preserve">по аналогии со стойкой</t>
        </is>
      </c>
    </row>
    <row r="21">
      <c r="A21" s="3" t="inlineStr">
        <is>
          <t xml:space="preserve">0,4</t>
        </is>
      </c>
      <c r="B21" s="3" t="inlineStr">
        <is>
          <t xml:space="preserve">А23</t>
        </is>
      </c>
      <c r="C21" s="3" t="inlineStr">
        <is>
          <t xml:space="preserve">Железобетонная</t>
        </is>
      </c>
      <c r="D21" s="3" t="inlineStr">
        <is>
          <t xml:space="preserve">Анкерная (концевая)</t>
        </is>
      </c>
      <c r="E21" s="3" t="inlineStr">
        <is>
          <t xml:space="preserve">21.0045 (ВЛИ 0,4 кВ)</t>
        </is>
      </c>
      <c r="F21" s="3" t="inlineStr">
        <is>
          <t xml:space="preserve">СВ-95-2</t>
        </is>
      </c>
      <c r="G21" s="3" t="inlineStr">
        <is>
          <t xml:space="preserve">концевая</t>
        </is>
      </c>
      <c r="H21" s="3" t="n">
        <v>20</v>
      </c>
      <c r="I21" s="3" t="n">
        <v>7</v>
      </c>
      <c r="J21" s="3" t="n">
        <v>40</v>
      </c>
      <c r="K21" s="3" t="inlineStr">
        <is>
          <t xml:space="preserve">типовой проект</t>
        </is>
      </c>
    </row>
    <row r="22">
      <c r="A22" s="3" t="inlineStr">
        <is>
          <t xml:space="preserve">0,4</t>
        </is>
      </c>
      <c r="B22" s="3" t="inlineStr">
        <is>
          <t xml:space="preserve">А24</t>
        </is>
      </c>
      <c r="C22" s="3" t="inlineStr">
        <is>
          <t xml:space="preserve">Железобетонная</t>
        </is>
      </c>
      <c r="D22" s="3" t="inlineStr">
        <is>
          <t xml:space="preserve">Анкерная (концевая) двухцепная</t>
        </is>
      </c>
      <c r="E22" s="3" t="inlineStr">
        <is>
          <t xml:space="preserve">25.0017</t>
        </is>
      </c>
      <c r="F22" s="3" t="inlineStr">
        <is>
          <t xml:space="preserve">СВ95-2</t>
        </is>
      </c>
      <c r="G22" s="3" t="inlineStr">
        <is>
          <t xml:space="preserve">концевая</t>
        </is>
      </c>
      <c r="H22" s="3" t="n">
        <v>20</v>
      </c>
      <c r="I22" s="3" t="n">
        <v>7</v>
      </c>
      <c r="J22" s="3" t="n">
        <v>40</v>
      </c>
      <c r="K22" s="3" t="inlineStr">
        <is>
          <t xml:space="preserve">по аналогии со стойкой</t>
        </is>
      </c>
    </row>
    <row r="23">
      <c r="A23" s="3" t="inlineStr">
        <is>
          <t xml:space="preserve">0,4</t>
        </is>
      </c>
      <c r="B23" s="3" t="inlineStr">
        <is>
          <t xml:space="preserve">ПА23</t>
        </is>
      </c>
      <c r="C23" s="3" t="inlineStr">
        <is>
          <t xml:space="preserve">Железобетонная</t>
        </is>
      </c>
      <c r="D23" s="3" t="inlineStr">
        <is>
          <t xml:space="preserve">Переходная анкерная одноцепная</t>
        </is>
      </c>
      <c r="E23" s="3" t="inlineStr">
        <is>
          <t xml:space="preserve">25.0017</t>
        </is>
      </c>
      <c r="F23" s="3" t="inlineStr">
        <is>
          <t xml:space="preserve">СВ105</t>
        </is>
      </c>
      <c r="G23" s="3" t="inlineStr">
        <is>
          <t xml:space="preserve">анкерная</t>
        </is>
      </c>
      <c r="H23" s="3" t="n">
        <v>35</v>
      </c>
      <c r="I23" s="3" t="n">
        <v>8</v>
      </c>
      <c r="J23" s="3" t="n">
        <v>50</v>
      </c>
      <c r="K23" s="3" t="inlineStr">
        <is>
          <t xml:space="preserve">по аналогии со стойкой</t>
        </is>
      </c>
    </row>
    <row r="24">
      <c r="A24" s="3" t="inlineStr">
        <is>
          <t xml:space="preserve">0,4</t>
        </is>
      </c>
      <c r="B24" s="3" t="inlineStr">
        <is>
          <t xml:space="preserve">ПА24</t>
        </is>
      </c>
      <c r="C24" s="3" t="inlineStr">
        <is>
          <t xml:space="preserve">Железобетонная</t>
        </is>
      </c>
      <c r="D24" s="3" t="inlineStr">
        <is>
          <t xml:space="preserve">Переходная анкерная двухцепная</t>
        </is>
      </c>
      <c r="E24" s="3" t="inlineStr">
        <is>
          <t xml:space="preserve">25.0017</t>
        </is>
      </c>
      <c r="F24" s="3" t="inlineStr">
        <is>
          <t xml:space="preserve">СВ105</t>
        </is>
      </c>
      <c r="G24" s="3" t="inlineStr">
        <is>
          <t xml:space="preserve">анкерная</t>
        </is>
      </c>
      <c r="H24" s="3" t="n">
        <v>35</v>
      </c>
      <c r="I24" s="3" t="n">
        <v>8</v>
      </c>
      <c r="J24" s="3" t="n">
        <v>50</v>
      </c>
      <c r="K24" s="3" t="inlineStr">
        <is>
          <t xml:space="preserve">по аналогии со стойкой</t>
        </is>
      </c>
    </row>
    <row r="25">
      <c r="A25" s="3" t="inlineStr">
        <is>
          <t xml:space="preserve">0,4</t>
        </is>
      </c>
      <c r="B25" s="3" t="inlineStr">
        <is>
          <t xml:space="preserve">УА23</t>
        </is>
      </c>
      <c r="C25" s="3" t="inlineStr">
        <is>
          <t xml:space="preserve">Железобетонная</t>
        </is>
      </c>
      <c r="D25" s="3" t="inlineStr">
        <is>
          <t xml:space="preserve">Угловая анкерная</t>
        </is>
      </c>
      <c r="E25" s="3" t="inlineStr">
        <is>
          <t xml:space="preserve">21.0045 (ВЛИ 0,4 кВ)</t>
        </is>
      </c>
      <c r="F25" s="3" t="inlineStr">
        <is>
          <t xml:space="preserve">СВ-95-2</t>
        </is>
      </c>
      <c r="G25" s="3" t="inlineStr">
        <is>
          <t xml:space="preserve">угловая анкерная</t>
        </is>
      </c>
      <c r="H25" s="3" t="n">
        <v>20</v>
      </c>
      <c r="I25" s="3" t="n">
        <v>7</v>
      </c>
      <c r="J25" s="3" t="n">
        <v>40</v>
      </c>
      <c r="K25" s="3" t="inlineStr">
        <is>
          <t xml:space="preserve">типовой проект</t>
        </is>
      </c>
    </row>
    <row r="26">
      <c r="A26" s="3" t="inlineStr">
        <is>
          <t xml:space="preserve">0,4</t>
        </is>
      </c>
      <c r="B26" s="3" t="inlineStr">
        <is>
          <t xml:space="preserve">УА24</t>
        </is>
      </c>
      <c r="C26" s="3" t="inlineStr">
        <is>
          <t xml:space="preserve">Железобетонная</t>
        </is>
      </c>
      <c r="D26" s="3" t="inlineStr">
        <is>
          <t xml:space="preserve">Анкерная угловая двухцепная</t>
        </is>
      </c>
      <c r="E26" s="3" t="inlineStr">
        <is>
          <t xml:space="preserve">25.0017</t>
        </is>
      </c>
      <c r="F26" s="3" t="inlineStr">
        <is>
          <t xml:space="preserve">СВ95-2</t>
        </is>
      </c>
      <c r="G26" s="3" t="inlineStr">
        <is>
          <t xml:space="preserve">угловая анкерная</t>
        </is>
      </c>
      <c r="H26" s="3" t="n">
        <v>20</v>
      </c>
      <c r="I26" s="3" t="n">
        <v>7</v>
      </c>
      <c r="J26" s="3" t="n">
        <v>40</v>
      </c>
      <c r="K26" s="3" t="inlineStr">
        <is>
          <t xml:space="preserve">по аналогии со стойкой</t>
        </is>
      </c>
    </row>
    <row r="27">
      <c r="A27" s="3" t="inlineStr">
        <is>
          <t xml:space="preserve">0,4</t>
        </is>
      </c>
      <c r="B27" s="3" t="inlineStr">
        <is>
          <t xml:space="preserve">ПУА23</t>
        </is>
      </c>
      <c r="C27" s="3" t="inlineStr">
        <is>
          <t xml:space="preserve">Железобетонная</t>
        </is>
      </c>
      <c r="D27" s="3" t="inlineStr">
        <is>
          <t xml:space="preserve">Переходная анкерная угловая одноцепная</t>
        </is>
      </c>
      <c r="E27" s="3" t="inlineStr">
        <is>
          <t xml:space="preserve">25.0017</t>
        </is>
      </c>
      <c r="F27" s="3" t="inlineStr">
        <is>
          <t xml:space="preserve">СВ105</t>
        </is>
      </c>
      <c r="G27" s="3" t="inlineStr">
        <is>
          <t xml:space="preserve">угловая анкерная</t>
        </is>
      </c>
      <c r="H27" s="3" t="n">
        <v>35</v>
      </c>
      <c r="I27" s="3" t="n">
        <v>8</v>
      </c>
      <c r="J27" s="3" t="n">
        <v>50</v>
      </c>
      <c r="K27" s="3" t="inlineStr">
        <is>
          <t xml:space="preserve">по аналогии со стойкой</t>
        </is>
      </c>
    </row>
    <row r="28">
      <c r="A28" s="3" t="inlineStr">
        <is>
          <t xml:space="preserve">0,4</t>
        </is>
      </c>
      <c r="B28" s="3" t="inlineStr">
        <is>
          <t xml:space="preserve">ПУА24</t>
        </is>
      </c>
      <c r="C28" s="3" t="inlineStr">
        <is>
          <t xml:space="preserve">Железобетонная</t>
        </is>
      </c>
      <c r="D28" s="3" t="inlineStr">
        <is>
          <t xml:space="preserve">Переходная анкерная угловая двухцепная</t>
        </is>
      </c>
      <c r="E28" s="3" t="inlineStr">
        <is>
          <t xml:space="preserve">25.0017</t>
        </is>
      </c>
      <c r="F28" s="3" t="inlineStr">
        <is>
          <t xml:space="preserve">СВ105</t>
        </is>
      </c>
      <c r="G28" s="3" t="inlineStr">
        <is>
          <t xml:space="preserve">угловая анкерная</t>
        </is>
      </c>
      <c r="H28" s="3" t="n">
        <v>35</v>
      </c>
      <c r="I28" s="3" t="n">
        <v>8</v>
      </c>
      <c r="J28" s="3" t="n">
        <v>50</v>
      </c>
      <c r="K28" s="3" t="inlineStr">
        <is>
          <t xml:space="preserve">по аналогии со стойкой</t>
        </is>
      </c>
    </row>
    <row r="29">
      <c r="A29" s="3" t="inlineStr">
        <is>
          <t xml:space="preserve">0,4</t>
        </is>
      </c>
      <c r="B29" s="3" t="inlineStr">
        <is>
          <t xml:space="preserve">ОА23</t>
        </is>
      </c>
      <c r="C29" s="3" t="inlineStr">
        <is>
          <t xml:space="preserve">Железобетонная</t>
        </is>
      </c>
      <c r="D29" s="3" t="inlineStr">
        <is>
          <t xml:space="preserve">Ответвительная анкерная</t>
        </is>
      </c>
      <c r="E29" s="3" t="inlineStr">
        <is>
          <t xml:space="preserve">21.0045 (ВЛИ 0,4 кВ)</t>
        </is>
      </c>
      <c r="F29" s="3" t="inlineStr">
        <is>
          <t xml:space="preserve">СВ-95-2</t>
        </is>
      </c>
      <c r="G29" s="3" t="inlineStr">
        <is>
          <t xml:space="preserve">ответвительная</t>
        </is>
      </c>
      <c r="H29" s="3" t="n">
        <v>20</v>
      </c>
      <c r="I29" s="3" t="n">
        <v>7</v>
      </c>
      <c r="J29" s="3" t="n">
        <v>40</v>
      </c>
      <c r="K29" s="3" t="inlineStr">
        <is>
          <t xml:space="preserve">типовой проект</t>
        </is>
      </c>
    </row>
    <row r="30">
      <c r="A30" s="3" t="inlineStr">
        <is>
          <t xml:space="preserve">0,4</t>
        </is>
      </c>
      <c r="B30" s="3" t="inlineStr">
        <is>
          <t xml:space="preserve">ОА24</t>
        </is>
      </c>
      <c r="C30" s="3" t="inlineStr">
        <is>
          <t xml:space="preserve">Железобетонная</t>
        </is>
      </c>
      <c r="D30" s="3" t="inlineStr">
        <is>
          <t xml:space="preserve">Ответвительная анкерная двухцепная</t>
        </is>
      </c>
      <c r="E30" s="3" t="inlineStr">
        <is>
          <t xml:space="preserve">25.0017</t>
        </is>
      </c>
      <c r="F30" s="3" t="inlineStr">
        <is>
          <t xml:space="preserve">СВ95-2</t>
        </is>
      </c>
      <c r="G30" s="3" t="inlineStr">
        <is>
          <t xml:space="preserve">ответвительная</t>
        </is>
      </c>
      <c r="H30" s="3" t="n">
        <v>20</v>
      </c>
      <c r="I30" s="3" t="n">
        <v>7</v>
      </c>
      <c r="J30" s="3" t="n">
        <v>40</v>
      </c>
      <c r="K30" s="3" t="inlineStr">
        <is>
          <t xml:space="preserve">по аналогии со стойкой</t>
        </is>
      </c>
    </row>
    <row r="31">
      <c r="A31" s="3" t="inlineStr">
        <is>
          <t xml:space="preserve">0,4</t>
        </is>
      </c>
      <c r="B31" s="3" t="inlineStr">
        <is>
          <t xml:space="preserve">П3</t>
        </is>
      </c>
      <c r="C31" s="3" t="inlineStr">
        <is>
          <t xml:space="preserve">Железобетонная</t>
        </is>
      </c>
      <c r="D31" s="3" t="inlineStr">
        <is>
          <t xml:space="preserve">Промежуточная</t>
        </is>
      </c>
      <c r="E31" s="3" t="inlineStr">
        <is>
          <t xml:space="preserve">ЛЭП98.02</t>
        </is>
      </c>
      <c r="F31" s="3" t="inlineStr">
        <is>
          <t xml:space="preserve">СВ-95-3</t>
        </is>
      </c>
      <c r="G31" s="3" t="inlineStr">
        <is>
          <t xml:space="preserve">промежуточная</t>
        </is>
      </c>
      <c r="H31" s="3" t="n">
        <v>30</v>
      </c>
      <c r="I31" s="3" t="n">
        <v>7</v>
      </c>
      <c r="J31" s="3" t="n">
        <v>40</v>
      </c>
      <c r="K31" s="3" t="inlineStr">
        <is>
          <t xml:space="preserve">типовой проект</t>
        </is>
      </c>
    </row>
    <row r="32">
      <c r="A32" s="3" t="inlineStr">
        <is>
          <t xml:space="preserve">0,4</t>
        </is>
      </c>
      <c r="B32" s="3" t="inlineStr">
        <is>
          <t xml:space="preserve">УА3</t>
        </is>
      </c>
      <c r="C32" s="3" t="inlineStr">
        <is>
          <t xml:space="preserve">Железобетонная</t>
        </is>
      </c>
      <c r="D32" s="3" t="inlineStr">
        <is>
          <t xml:space="preserve">Угловая анкерная</t>
        </is>
      </c>
      <c r="E32" s="3" t="inlineStr">
        <is>
          <t xml:space="preserve">ЛЭП98.02</t>
        </is>
      </c>
      <c r="F32" s="3" t="inlineStr">
        <is>
          <t xml:space="preserve">СВ-95-3</t>
        </is>
      </c>
      <c r="G32" s="3" t="inlineStr">
        <is>
          <t xml:space="preserve">угловая анкерная</t>
        </is>
      </c>
      <c r="H32" s="3" t="n">
        <v>30</v>
      </c>
      <c r="I32" s="3" t="n">
        <v>7</v>
      </c>
      <c r="J32" s="3" t="n">
        <v>40</v>
      </c>
      <c r="K32" s="3" t="inlineStr">
        <is>
          <t xml:space="preserve">типовой проект</t>
        </is>
      </c>
    </row>
    <row r="33">
      <c r="A33" s="3" t="inlineStr">
        <is>
          <t xml:space="preserve">0,4</t>
        </is>
      </c>
      <c r="B33" s="3" t="inlineStr">
        <is>
          <t xml:space="preserve">ОА3</t>
        </is>
      </c>
      <c r="C33" s="3" t="inlineStr">
        <is>
          <t xml:space="preserve">Железобетонная</t>
        </is>
      </c>
      <c r="D33" s="3" t="inlineStr">
        <is>
          <t xml:space="preserve">Ответвительная анкерная</t>
        </is>
      </c>
      <c r="E33" s="3" t="inlineStr">
        <is>
          <t xml:space="preserve">ЛЭП98.02</t>
        </is>
      </c>
      <c r="F33" s="3" t="inlineStr">
        <is>
          <t xml:space="preserve">СВ-95-3</t>
        </is>
      </c>
      <c r="G33" s="3" t="inlineStr">
        <is>
          <t xml:space="preserve">ответвительная</t>
        </is>
      </c>
      <c r="H33" s="3" t="n">
        <v>30</v>
      </c>
      <c r="I33" s="3" t="n">
        <v>7</v>
      </c>
      <c r="J33" s="3" t="n">
        <v>40</v>
      </c>
      <c r="K33" s="3" t="inlineStr">
        <is>
          <t xml:space="preserve">типовой проект</t>
        </is>
      </c>
    </row>
    <row r="34">
      <c r="A34" s="3" t="inlineStr">
        <is>
          <t xml:space="preserve">0,4</t>
        </is>
      </c>
      <c r="B34" s="3" t="inlineStr">
        <is>
          <t xml:space="preserve">К3</t>
        </is>
      </c>
      <c r="C34" s="3" t="inlineStr">
        <is>
          <t xml:space="preserve">Железобетонная</t>
        </is>
      </c>
      <c r="D34" s="3" t="inlineStr">
        <is>
          <t xml:space="preserve">Концевая</t>
        </is>
      </c>
      <c r="E34" s="3" t="inlineStr">
        <is>
          <t xml:space="preserve">ЛЭП98.02</t>
        </is>
      </c>
      <c r="F34" s="3" t="inlineStr">
        <is>
          <t xml:space="preserve">СВ-95-3</t>
        </is>
      </c>
      <c r="G34" s="3" t="inlineStr">
        <is>
          <t xml:space="preserve">концевая</t>
        </is>
      </c>
      <c r="H34" s="3" t="n">
        <v>30</v>
      </c>
      <c r="I34" s="3" t="n">
        <v>7</v>
      </c>
      <c r="J34" s="3" t="n">
        <v>40</v>
      </c>
      <c r="K34" s="3" t="inlineStr">
        <is>
          <t xml:space="preserve">типовой проект</t>
        </is>
      </c>
    </row>
    <row r="35">
      <c r="A35" s="3" t="inlineStr">
        <is>
          <t xml:space="preserve">6</t>
        </is>
      </c>
      <c r="B35" s="3" t="inlineStr">
        <is>
          <t xml:space="preserve">П10-1 (6 кВ)</t>
        </is>
      </c>
      <c r="C35" s="3" t="inlineStr">
        <is>
          <t xml:space="preserve">Железобетонная</t>
        </is>
      </c>
      <c r="D35" s="3" t="inlineStr">
        <is>
          <t xml:space="preserve">Промежуточная</t>
        </is>
      </c>
      <c r="E35" s="3" t="inlineStr">
        <is>
          <t xml:space="preserve">3.407.1-143.1</t>
        </is>
      </c>
      <c r="F35" s="3" t="inlineStr">
        <is>
          <t xml:space="preserve">СВ105</t>
        </is>
      </c>
      <c r="G35" s="3" t="inlineStr">
        <is>
          <t xml:space="preserve">промежуточная</t>
        </is>
      </c>
      <c r="H35" s="3" t="n">
        <v>35</v>
      </c>
      <c r="I35" s="3" t="n">
        <v>8</v>
      </c>
      <c r="J35" s="3" t="n">
        <v>60</v>
      </c>
      <c r="K35" s="3" t="inlineStr">
        <is>
          <t xml:space="preserve">типовой проект</t>
        </is>
      </c>
    </row>
    <row r="36">
      <c r="A36" s="3" t="inlineStr">
        <is>
          <t xml:space="preserve">6</t>
        </is>
      </c>
      <c r="B36" s="3" t="inlineStr">
        <is>
          <t xml:space="preserve">УА10-1 (6 кВ)</t>
        </is>
      </c>
      <c r="C36" s="3" t="inlineStr">
        <is>
          <t xml:space="preserve">Железобетонная</t>
        </is>
      </c>
      <c r="D36" s="3" t="inlineStr">
        <is>
          <t xml:space="preserve">Анкерная угловая</t>
        </is>
      </c>
      <c r="E36" s="3" t="inlineStr">
        <is>
          <t xml:space="preserve">3.407.1-143.1</t>
        </is>
      </c>
      <c r="F36" s="3" t="inlineStr">
        <is>
          <t xml:space="preserve">СВ105</t>
        </is>
      </c>
      <c r="G36" s="3" t="inlineStr">
        <is>
          <t xml:space="preserve">угловая анкерная</t>
        </is>
      </c>
      <c r="H36" s="3" t="n">
        <v>35</v>
      </c>
      <c r="I36" s="3" t="n">
        <v>8</v>
      </c>
      <c r="J36" s="3" t="n">
        <v>60</v>
      </c>
      <c r="K36" s="3" t="inlineStr">
        <is>
          <t xml:space="preserve">типовой проект</t>
        </is>
      </c>
    </row>
    <row r="37">
      <c r="A37" s="3" t="inlineStr">
        <is>
          <t xml:space="preserve">6</t>
        </is>
      </c>
      <c r="B37" s="3" t="inlineStr">
        <is>
          <t xml:space="preserve">А10-1 (6 кВ)</t>
        </is>
      </c>
      <c r="C37" s="3" t="inlineStr">
        <is>
          <t xml:space="preserve">Железобетонная</t>
        </is>
      </c>
      <c r="D37" s="3" t="inlineStr">
        <is>
          <t xml:space="preserve">Анкерная (концевая)</t>
        </is>
      </c>
      <c r="E37" s="3" t="inlineStr">
        <is>
          <t xml:space="preserve">3.407.1-143.1</t>
        </is>
      </c>
      <c r="F37" s="3" t="inlineStr">
        <is>
          <t xml:space="preserve">СВ105</t>
        </is>
      </c>
      <c r="G37" s="3" t="inlineStr">
        <is>
          <t xml:space="preserve">концевая</t>
        </is>
      </c>
      <c r="H37" s="3" t="n">
        <v>35</v>
      </c>
      <c r="I37" s="3" t="n">
        <v>8</v>
      </c>
      <c r="J37" s="3" t="n">
        <v>60</v>
      </c>
      <c r="K37" s="3" t="inlineStr">
        <is>
          <t xml:space="preserve">типовой проект</t>
        </is>
      </c>
    </row>
    <row r="38">
      <c r="A38" s="3" t="inlineStr">
        <is>
          <t xml:space="preserve">6</t>
        </is>
      </c>
      <c r="B38" s="3" t="inlineStr">
        <is>
          <t xml:space="preserve">Опора 6 (дерев.)</t>
        </is>
      </c>
      <c r="C38" s="3" t="inlineStr">
        <is>
          <t xml:space="preserve">Деревянная</t>
        </is>
      </c>
      <c r="D38" s="3" t="inlineStr">
        <is>
          <t xml:space="preserve">Промежуточная</t>
        </is>
      </c>
      <c r="E38" s="3" t="inlineStr">
        <is>
          <t xml:space="preserve">по проекту (дерев.)</t>
        </is>
      </c>
      <c r="F38" s="3" t="inlineStr">
        <is>
          <t xml:space="preserve">бревно d ≥ 180</t>
        </is>
      </c>
      <c r="G38" s="3" t="inlineStr">
        <is>
          <t xml:space="preserve">промежуточная</t>
        </is>
      </c>
      <c r="H38" s="3" t="n">
        <v>18</v>
      </c>
      <c r="I38" s="3" t="n">
        <v>7</v>
      </c>
      <c r="J38" s="3" t="n">
        <v>50</v>
      </c>
      <c r="K38" s="3" t="inlineStr">
        <is>
          <t xml:space="preserve">типовой проект</t>
        </is>
      </c>
    </row>
    <row r="39">
      <c r="A39" s="3" t="inlineStr">
        <is>
          <t xml:space="preserve">10</t>
        </is>
      </c>
      <c r="B39" s="3" t="inlineStr">
        <is>
          <t xml:space="preserve">П10-1</t>
        </is>
      </c>
      <c r="C39" s="3" t="inlineStr">
        <is>
          <t xml:space="preserve">Железобетонная</t>
        </is>
      </c>
      <c r="D39" s="3" t="inlineStr">
        <is>
          <t xml:space="preserve">Промежуточная (ненасел.)</t>
        </is>
      </c>
      <c r="E39" s="3" t="inlineStr">
        <is>
          <t xml:space="preserve">3.407.1-143 вып.1</t>
        </is>
      </c>
      <c r="F39" s="3" t="inlineStr">
        <is>
          <t xml:space="preserve">СВ105</t>
        </is>
      </c>
      <c r="G39" s="3" t="inlineStr">
        <is>
          <t xml:space="preserve">промежуточная</t>
        </is>
      </c>
      <c r="H39" s="3" t="n">
        <v>35</v>
      </c>
      <c r="I39" s="3" t="n">
        <v>8.2</v>
      </c>
      <c r="J39" s="3" t="n">
        <v>60</v>
      </c>
      <c r="K39" s="3" t="inlineStr">
        <is>
          <t xml:space="preserve">типовой проект</t>
        </is>
      </c>
    </row>
    <row r="40">
      <c r="A40" s="3" t="inlineStr">
        <is>
          <t xml:space="preserve">10</t>
        </is>
      </c>
      <c r="B40" s="3" t="inlineStr">
        <is>
          <t xml:space="preserve">П10-2</t>
        </is>
      </c>
      <c r="C40" s="3" t="inlineStr">
        <is>
          <t xml:space="preserve">Железобетонная</t>
        </is>
      </c>
      <c r="D40" s="3" t="inlineStr">
        <is>
          <t xml:space="preserve">Промежуточная (насел.)</t>
        </is>
      </c>
      <c r="E40" s="3" t="inlineStr">
        <is>
          <t xml:space="preserve">3.407.1-143 вып.1</t>
        </is>
      </c>
      <c r="F40" s="3" t="inlineStr">
        <is>
          <t xml:space="preserve">СВ105</t>
        </is>
      </c>
      <c r="G40" s="3" t="inlineStr">
        <is>
          <t xml:space="preserve">промежуточная</t>
        </is>
      </c>
      <c r="H40" s="3" t="n">
        <v>35</v>
      </c>
      <c r="I40" s="3" t="n">
        <v>8.2</v>
      </c>
      <c r="J40" s="3" t="n">
        <v>60</v>
      </c>
      <c r="K40" s="3" t="inlineStr">
        <is>
          <t xml:space="preserve">типовой проект</t>
        </is>
      </c>
    </row>
    <row r="41">
      <c r="A41" s="3" t="inlineStr">
        <is>
          <t xml:space="preserve">10</t>
        </is>
      </c>
      <c r="B41" s="3" t="inlineStr">
        <is>
          <t xml:space="preserve">УП10-1</t>
        </is>
      </c>
      <c r="C41" s="3" t="inlineStr">
        <is>
          <t xml:space="preserve">Железобетонная</t>
        </is>
      </c>
      <c r="D41" s="3" t="inlineStr">
        <is>
          <t xml:space="preserve">Промежуточно-угловая (до 30°)</t>
        </is>
      </c>
      <c r="E41" s="3" t="inlineStr">
        <is>
          <t xml:space="preserve">3.407.1-143 вып.1</t>
        </is>
      </c>
      <c r="F41" s="3" t="inlineStr">
        <is>
          <t xml:space="preserve">СВ105</t>
        </is>
      </c>
      <c r="G41" s="3" t="inlineStr">
        <is>
          <t xml:space="preserve">угловая</t>
        </is>
      </c>
      <c r="H41" s="3" t="n">
        <v>35</v>
      </c>
      <c r="I41" s="3" t="n">
        <v>8.2</v>
      </c>
      <c r="J41" s="3" t="n">
        <v>60</v>
      </c>
      <c r="K41" s="3" t="inlineStr">
        <is>
          <t xml:space="preserve">типовой проект</t>
        </is>
      </c>
    </row>
    <row r="42">
      <c r="A42" s="3" t="inlineStr">
        <is>
          <t xml:space="preserve">10</t>
        </is>
      </c>
      <c r="B42" s="3" t="inlineStr">
        <is>
          <t xml:space="preserve">А10-1</t>
        </is>
      </c>
      <c r="C42" s="3" t="inlineStr">
        <is>
          <t xml:space="preserve">Железобетонная</t>
        </is>
      </c>
      <c r="D42" s="3" t="inlineStr">
        <is>
          <t xml:space="preserve">Анкерная (концевая)</t>
        </is>
      </c>
      <c r="E42" s="3" t="inlineStr">
        <is>
          <t xml:space="preserve">3.407.1-143 вып.1</t>
        </is>
      </c>
      <c r="F42" s="3" t="inlineStr">
        <is>
          <t xml:space="preserve">СВ105</t>
        </is>
      </c>
      <c r="G42" s="3" t="inlineStr">
        <is>
          <t xml:space="preserve">концевая</t>
        </is>
      </c>
      <c r="H42" s="3" t="n">
        <v>35</v>
      </c>
      <c r="I42" s="3" t="n">
        <v>8.2</v>
      </c>
      <c r="J42" s="3" t="n">
        <v>60</v>
      </c>
      <c r="K42" s="3" t="inlineStr">
        <is>
          <t xml:space="preserve">типовой проект</t>
        </is>
      </c>
    </row>
    <row r="43">
      <c r="A43" s="3" t="inlineStr">
        <is>
          <t xml:space="preserve">10</t>
        </is>
      </c>
      <c r="B43" s="3" t="inlineStr">
        <is>
          <t xml:space="preserve">УА10-1</t>
        </is>
      </c>
      <c r="C43" s="3" t="inlineStr">
        <is>
          <t xml:space="preserve">Железобетонная</t>
        </is>
      </c>
      <c r="D43" s="3" t="inlineStr">
        <is>
          <t xml:space="preserve">Анкерная угловая (до 90°)</t>
        </is>
      </c>
      <c r="E43" s="3" t="inlineStr">
        <is>
          <t xml:space="preserve">3.407.1-143 вып.1</t>
        </is>
      </c>
      <c r="F43" s="3" t="inlineStr">
        <is>
          <t xml:space="preserve">СВ105</t>
        </is>
      </c>
      <c r="G43" s="3" t="inlineStr">
        <is>
          <t xml:space="preserve">угловая анкерная</t>
        </is>
      </c>
      <c r="H43" s="3" t="n">
        <v>35</v>
      </c>
      <c r="I43" s="3" t="n">
        <v>8.2</v>
      </c>
      <c r="J43" s="3" t="n">
        <v>60</v>
      </c>
      <c r="K43" s="3" t="inlineStr">
        <is>
          <t xml:space="preserve">типовой проект</t>
        </is>
      </c>
    </row>
    <row r="44">
      <c r="A44" s="3" t="inlineStr">
        <is>
          <t xml:space="preserve">10</t>
        </is>
      </c>
      <c r="B44" s="3" t="inlineStr">
        <is>
          <t xml:space="preserve">ОА10-1</t>
        </is>
      </c>
      <c r="C44" s="3" t="inlineStr">
        <is>
          <t xml:space="preserve">Железобетонная</t>
        </is>
      </c>
      <c r="D44" s="3" t="inlineStr">
        <is>
          <t xml:space="preserve">Ответвительная анкерная</t>
        </is>
      </c>
      <c r="E44" s="3" t="inlineStr">
        <is>
          <t xml:space="preserve">3.407.1-143 вып.1</t>
        </is>
      </c>
      <c r="F44" s="3" t="inlineStr">
        <is>
          <t xml:space="preserve">СВ105</t>
        </is>
      </c>
      <c r="G44" s="3" t="inlineStr">
        <is>
          <t xml:space="preserve">ответвительная</t>
        </is>
      </c>
      <c r="H44" s="3" t="n">
        <v>35</v>
      </c>
      <c r="I44" s="3" t="n">
        <v>8.2</v>
      </c>
      <c r="J44" s="3" t="n">
        <v>60</v>
      </c>
      <c r="K44" s="3" t="inlineStr">
        <is>
          <t xml:space="preserve">типовой проект</t>
        </is>
      </c>
    </row>
    <row r="45">
      <c r="A45" s="3" t="inlineStr">
        <is>
          <t xml:space="preserve">10</t>
        </is>
      </c>
      <c r="B45" s="3" t="inlineStr">
        <is>
          <t xml:space="preserve">УОА10-1</t>
        </is>
      </c>
      <c r="C45" s="3" t="inlineStr">
        <is>
          <t xml:space="preserve">Железобетонная</t>
        </is>
      </c>
      <c r="D45" s="3" t="inlineStr">
        <is>
          <t xml:space="preserve">Угловая ответвительная анкерная</t>
        </is>
      </c>
      <c r="E45" s="3" t="inlineStr">
        <is>
          <t xml:space="preserve">3.407.1-143 вып.1</t>
        </is>
      </c>
      <c r="F45" s="3" t="inlineStr">
        <is>
          <t xml:space="preserve">СВ105</t>
        </is>
      </c>
      <c r="G45" s="3" t="inlineStr">
        <is>
          <t xml:space="preserve">угловая анкерная</t>
        </is>
      </c>
      <c r="H45" s="3" t="n">
        <v>35</v>
      </c>
      <c r="I45" s="3" t="n">
        <v>8.2</v>
      </c>
      <c r="J45" s="3" t="n">
        <v>60</v>
      </c>
      <c r="K45" s="3" t="inlineStr">
        <is>
          <t xml:space="preserve">типовой проект</t>
        </is>
      </c>
    </row>
    <row r="46">
      <c r="A46" s="3" t="inlineStr">
        <is>
          <t xml:space="preserve">10</t>
        </is>
      </c>
      <c r="B46" s="3" t="inlineStr">
        <is>
          <t xml:space="preserve">П10-3</t>
        </is>
      </c>
      <c r="C46" s="3" t="inlineStr">
        <is>
          <t xml:space="preserve">Железобетонная</t>
        </is>
      </c>
      <c r="D46" s="3" t="inlineStr">
        <is>
          <t xml:space="preserve">Промежуточная (ненасел.)</t>
        </is>
      </c>
      <c r="E46" s="3" t="inlineStr">
        <is>
          <t xml:space="preserve">3.407.1-143 вып.2</t>
        </is>
      </c>
      <c r="F46" s="3" t="inlineStr">
        <is>
          <t xml:space="preserve">СВ110</t>
        </is>
      </c>
      <c r="G46" s="3" t="inlineStr">
        <is>
          <t xml:space="preserve">промежуточная</t>
        </is>
      </c>
      <c r="H46" s="3" t="n">
        <v>40</v>
      </c>
      <c r="I46" s="3" t="n">
        <v>8.5</v>
      </c>
      <c r="J46" s="3" t="n">
        <v>70</v>
      </c>
      <c r="K46" s="3" t="inlineStr">
        <is>
          <t xml:space="preserve">типовой проект</t>
        </is>
      </c>
    </row>
    <row r="47">
      <c r="A47" s="3" t="inlineStr">
        <is>
          <t xml:space="preserve">10</t>
        </is>
      </c>
      <c r="B47" s="3" t="inlineStr">
        <is>
          <t xml:space="preserve">П10-4</t>
        </is>
      </c>
      <c r="C47" s="3" t="inlineStr">
        <is>
          <t xml:space="preserve">Железобетонная</t>
        </is>
      </c>
      <c r="D47" s="3" t="inlineStr">
        <is>
          <t xml:space="preserve">Промежуточная (насел.)</t>
        </is>
      </c>
      <c r="E47" s="3" t="inlineStr">
        <is>
          <t xml:space="preserve">3.407.1-143 вып.2</t>
        </is>
      </c>
      <c r="F47" s="3" t="inlineStr">
        <is>
          <t xml:space="preserve">СВ110</t>
        </is>
      </c>
      <c r="G47" s="3" t="inlineStr">
        <is>
          <t xml:space="preserve">промежуточная</t>
        </is>
      </c>
      <c r="H47" s="3" t="n">
        <v>40</v>
      </c>
      <c r="I47" s="3" t="n">
        <v>8.5</v>
      </c>
      <c r="J47" s="3" t="n">
        <v>70</v>
      </c>
      <c r="K47" s="3" t="inlineStr">
        <is>
          <t xml:space="preserve">типовой проект</t>
        </is>
      </c>
    </row>
    <row r="48">
      <c r="A48" s="3" t="inlineStr">
        <is>
          <t xml:space="preserve">10</t>
        </is>
      </c>
      <c r="B48" s="3" t="inlineStr">
        <is>
          <t xml:space="preserve">УП10-2</t>
        </is>
      </c>
      <c r="C48" s="3" t="inlineStr">
        <is>
          <t xml:space="preserve">Железобетонная</t>
        </is>
      </c>
      <c r="D48" s="3" t="inlineStr">
        <is>
          <t xml:space="preserve">Промежуточно-угловая</t>
        </is>
      </c>
      <c r="E48" s="3" t="inlineStr">
        <is>
          <t xml:space="preserve">3.407.1-143 вып.2</t>
        </is>
      </c>
      <c r="F48" s="3" t="inlineStr">
        <is>
          <t xml:space="preserve">СВ110</t>
        </is>
      </c>
      <c r="G48" s="3" t="inlineStr">
        <is>
          <t xml:space="preserve">угловая</t>
        </is>
      </c>
      <c r="H48" s="3" t="n">
        <v>40</v>
      </c>
      <c r="I48" s="3" t="n">
        <v>8.5</v>
      </c>
      <c r="J48" s="3" t="n">
        <v>70</v>
      </c>
      <c r="K48" s="3" t="inlineStr">
        <is>
          <t xml:space="preserve">типовой проект</t>
        </is>
      </c>
    </row>
    <row r="49">
      <c r="A49" s="3" t="inlineStr">
        <is>
          <t xml:space="preserve">10</t>
        </is>
      </c>
      <c r="B49" s="3" t="inlineStr">
        <is>
          <t xml:space="preserve">А10-2</t>
        </is>
      </c>
      <c r="C49" s="3" t="inlineStr">
        <is>
          <t xml:space="preserve">Железобетонная</t>
        </is>
      </c>
      <c r="D49" s="3" t="inlineStr">
        <is>
          <t xml:space="preserve">Анкерная (концевая)</t>
        </is>
      </c>
      <c r="E49" s="3" t="inlineStr">
        <is>
          <t xml:space="preserve">3.407.1-143 вып.2</t>
        </is>
      </c>
      <c r="F49" s="3" t="inlineStr">
        <is>
          <t xml:space="preserve">СВ110</t>
        </is>
      </c>
      <c r="G49" s="3" t="inlineStr">
        <is>
          <t xml:space="preserve">концевая</t>
        </is>
      </c>
      <c r="H49" s="3" t="n">
        <v>40</v>
      </c>
      <c r="I49" s="3" t="n">
        <v>8.5</v>
      </c>
      <c r="J49" s="3" t="n">
        <v>70</v>
      </c>
      <c r="K49" s="3" t="inlineStr">
        <is>
          <t xml:space="preserve">типовой проект</t>
        </is>
      </c>
    </row>
    <row r="50">
      <c r="A50" s="3" t="inlineStr">
        <is>
          <t xml:space="preserve">10</t>
        </is>
      </c>
      <c r="B50" s="3" t="inlineStr">
        <is>
          <t xml:space="preserve">УА10-2</t>
        </is>
      </c>
      <c r="C50" s="3" t="inlineStr">
        <is>
          <t xml:space="preserve">Железобетонная</t>
        </is>
      </c>
      <c r="D50" s="3" t="inlineStr">
        <is>
          <t xml:space="preserve">Анкерная угловая</t>
        </is>
      </c>
      <c r="E50" s="3" t="inlineStr">
        <is>
          <t xml:space="preserve">3.407.1-143 вып.2</t>
        </is>
      </c>
      <c r="F50" s="3" t="inlineStr">
        <is>
          <t xml:space="preserve">СВ110</t>
        </is>
      </c>
      <c r="G50" s="3" t="inlineStr">
        <is>
          <t xml:space="preserve">угловая анкерная</t>
        </is>
      </c>
      <c r="H50" s="3" t="n">
        <v>40</v>
      </c>
      <c r="I50" s="3" t="n">
        <v>8.5</v>
      </c>
      <c r="J50" s="3" t="n">
        <v>70</v>
      </c>
      <c r="K50" s="3" t="inlineStr">
        <is>
          <t xml:space="preserve">типовой проект</t>
        </is>
      </c>
    </row>
    <row r="51">
      <c r="A51" s="3" t="inlineStr">
        <is>
          <t xml:space="preserve">10</t>
        </is>
      </c>
      <c r="B51" s="3" t="inlineStr">
        <is>
          <t xml:space="preserve">ОА10-2</t>
        </is>
      </c>
      <c r="C51" s="3" t="inlineStr">
        <is>
          <t xml:space="preserve">Железобетонная</t>
        </is>
      </c>
      <c r="D51" s="3" t="inlineStr">
        <is>
          <t xml:space="preserve">Ответвительная анкерная</t>
        </is>
      </c>
      <c r="E51" s="3" t="inlineStr">
        <is>
          <t xml:space="preserve">3.407.1-143 вып.2</t>
        </is>
      </c>
      <c r="F51" s="3" t="inlineStr">
        <is>
          <t xml:space="preserve">СВ110</t>
        </is>
      </c>
      <c r="G51" s="3" t="inlineStr">
        <is>
          <t xml:space="preserve">ответвительная</t>
        </is>
      </c>
      <c r="H51" s="3" t="n">
        <v>40</v>
      </c>
      <c r="I51" s="3" t="n">
        <v>8.5</v>
      </c>
      <c r="J51" s="3" t="n">
        <v>70</v>
      </c>
      <c r="K51" s="3" t="inlineStr">
        <is>
          <t xml:space="preserve">типовой проект</t>
        </is>
      </c>
    </row>
    <row r="52">
      <c r="A52" s="3" t="inlineStr">
        <is>
          <t xml:space="preserve">10</t>
        </is>
      </c>
      <c r="B52" s="3" t="inlineStr">
        <is>
          <t xml:space="preserve">УОА10-2</t>
        </is>
      </c>
      <c r="C52" s="3" t="inlineStr">
        <is>
          <t xml:space="preserve">Железобетонная</t>
        </is>
      </c>
      <c r="D52" s="3" t="inlineStr">
        <is>
          <t xml:space="preserve">Угловая ответвительная анкерная</t>
        </is>
      </c>
      <c r="E52" s="3" t="inlineStr">
        <is>
          <t xml:space="preserve">3.407.1-143 вып.2</t>
        </is>
      </c>
      <c r="F52" s="3" t="inlineStr">
        <is>
          <t xml:space="preserve">СВ110</t>
        </is>
      </c>
      <c r="G52" s="3" t="inlineStr">
        <is>
          <t xml:space="preserve">угловая анкерная</t>
        </is>
      </c>
      <c r="H52" s="3" t="n">
        <v>40</v>
      </c>
      <c r="I52" s="3" t="n">
        <v>8.5</v>
      </c>
      <c r="J52" s="3" t="n">
        <v>70</v>
      </c>
      <c r="K52" s="3" t="inlineStr">
        <is>
          <t xml:space="preserve">типовой проект</t>
        </is>
      </c>
    </row>
    <row r="53">
      <c r="A53" s="3" t="inlineStr">
        <is>
          <t xml:space="preserve">10</t>
        </is>
      </c>
      <c r="B53" s="3" t="inlineStr">
        <is>
          <t xml:space="preserve">П10-5</t>
        </is>
      </c>
      <c r="C53" s="3" t="inlineStr">
        <is>
          <t xml:space="preserve">Железобетонная</t>
        </is>
      </c>
      <c r="D53" s="3" t="inlineStr">
        <is>
          <t xml:space="preserve">Промежуточная</t>
        </is>
      </c>
      <c r="E53" s="3" t="inlineStr">
        <is>
          <t xml:space="preserve">3.407.1-143 вып.3</t>
        </is>
      </c>
      <c r="F53" s="3" t="inlineStr">
        <is>
          <t xml:space="preserve">СВ13</t>
        </is>
      </c>
      <c r="G53" s="3" t="inlineStr">
        <is>
          <t xml:space="preserve">промежуточная</t>
        </is>
      </c>
      <c r="H53" s="3" t="n">
        <v>44</v>
      </c>
      <c r="I53" s="3" t="n">
        <v>9</v>
      </c>
      <c r="J53" s="3" t="n">
        <v>80</v>
      </c>
      <c r="K53" s="3" t="inlineStr">
        <is>
          <t xml:space="preserve">типовой проект</t>
        </is>
      </c>
    </row>
    <row r="54">
      <c r="A54" s="3" t="inlineStr">
        <is>
          <t xml:space="preserve">10</t>
        </is>
      </c>
      <c r="B54" s="3" t="inlineStr">
        <is>
          <t xml:space="preserve">УП10-3</t>
        </is>
      </c>
      <c r="C54" s="3" t="inlineStr">
        <is>
          <t xml:space="preserve">Железобетонная</t>
        </is>
      </c>
      <c r="D54" s="3" t="inlineStr">
        <is>
          <t xml:space="preserve">Промежуточно-угловая</t>
        </is>
      </c>
      <c r="E54" s="3" t="inlineStr">
        <is>
          <t xml:space="preserve">3.407.1-143 вып.3</t>
        </is>
      </c>
      <c r="F54" s="3" t="inlineStr">
        <is>
          <t xml:space="preserve">СВ13</t>
        </is>
      </c>
      <c r="G54" s="3" t="inlineStr">
        <is>
          <t xml:space="preserve">угловая</t>
        </is>
      </c>
      <c r="H54" s="3" t="n">
        <v>44</v>
      </c>
      <c r="I54" s="3" t="n">
        <v>9</v>
      </c>
      <c r="J54" s="3" t="n">
        <v>80</v>
      </c>
      <c r="K54" s="3" t="inlineStr">
        <is>
          <t xml:space="preserve">типовой проект</t>
        </is>
      </c>
    </row>
    <row r="55">
      <c r="A55" s="3" t="inlineStr">
        <is>
          <t xml:space="preserve">10</t>
        </is>
      </c>
      <c r="B55" s="3" t="inlineStr">
        <is>
          <t xml:space="preserve">А10-3</t>
        </is>
      </c>
      <c r="C55" s="3" t="inlineStr">
        <is>
          <t xml:space="preserve">Железобетонная</t>
        </is>
      </c>
      <c r="D55" s="3" t="inlineStr">
        <is>
          <t xml:space="preserve">Анкерная (концевая)</t>
        </is>
      </c>
      <c r="E55" s="3" t="inlineStr">
        <is>
          <t xml:space="preserve">3.407.1-143 вып.3</t>
        </is>
      </c>
      <c r="F55" s="3" t="inlineStr">
        <is>
          <t xml:space="preserve">СВ13</t>
        </is>
      </c>
      <c r="G55" s="3" t="inlineStr">
        <is>
          <t xml:space="preserve">концевая</t>
        </is>
      </c>
      <c r="H55" s="3" t="n">
        <v>44</v>
      </c>
      <c r="I55" s="3" t="n">
        <v>9</v>
      </c>
      <c r="J55" s="3" t="n">
        <v>80</v>
      </c>
      <c r="K55" s="3" t="inlineStr">
        <is>
          <t xml:space="preserve">типовой проект</t>
        </is>
      </c>
    </row>
    <row r="56">
      <c r="A56" s="3" t="inlineStr">
        <is>
          <t xml:space="preserve">10</t>
        </is>
      </c>
      <c r="B56" s="3" t="inlineStr">
        <is>
          <t xml:space="preserve">УА10-3</t>
        </is>
      </c>
      <c r="C56" s="3" t="inlineStr">
        <is>
          <t xml:space="preserve">Железобетонная</t>
        </is>
      </c>
      <c r="D56" s="3" t="inlineStr">
        <is>
          <t xml:space="preserve">Анкерная угловая</t>
        </is>
      </c>
      <c r="E56" s="3" t="inlineStr">
        <is>
          <t xml:space="preserve">3.407.1-143 вып.3</t>
        </is>
      </c>
      <c r="F56" s="3" t="inlineStr">
        <is>
          <t xml:space="preserve">СВ13</t>
        </is>
      </c>
      <c r="G56" s="3" t="inlineStr">
        <is>
          <t xml:space="preserve">угловая анкерная</t>
        </is>
      </c>
      <c r="H56" s="3" t="n">
        <v>44</v>
      </c>
      <c r="I56" s="3" t="n">
        <v>9</v>
      </c>
      <c r="J56" s="3" t="n">
        <v>80</v>
      </c>
      <c r="K56" s="3" t="inlineStr">
        <is>
          <t xml:space="preserve">типовой проект</t>
        </is>
      </c>
    </row>
    <row r="57">
      <c r="A57" s="3" t="inlineStr">
        <is>
          <t xml:space="preserve">10</t>
        </is>
      </c>
      <c r="B57" s="3" t="inlineStr">
        <is>
          <t xml:space="preserve">ОА10-3</t>
        </is>
      </c>
      <c r="C57" s="3" t="inlineStr">
        <is>
          <t xml:space="preserve">Железобетонная</t>
        </is>
      </c>
      <c r="D57" s="3" t="inlineStr">
        <is>
          <t xml:space="preserve">Ответвительная анкерная</t>
        </is>
      </c>
      <c r="E57" s="3" t="inlineStr">
        <is>
          <t xml:space="preserve">3.407.1-143 вып.3</t>
        </is>
      </c>
      <c r="F57" s="3" t="inlineStr">
        <is>
          <t xml:space="preserve">СВ13</t>
        </is>
      </c>
      <c r="G57" s="3" t="inlineStr">
        <is>
          <t xml:space="preserve">ответвительная</t>
        </is>
      </c>
      <c r="H57" s="3" t="n">
        <v>44</v>
      </c>
      <c r="I57" s="3" t="n">
        <v>9</v>
      </c>
      <c r="J57" s="3" t="n">
        <v>80</v>
      </c>
      <c r="K57" s="3" t="inlineStr">
        <is>
          <t xml:space="preserve">типовой проект</t>
        </is>
      </c>
    </row>
    <row r="58">
      <c r="A58" s="3" t="inlineStr">
        <is>
          <t xml:space="preserve">10</t>
        </is>
      </c>
      <c r="B58" s="3" t="inlineStr">
        <is>
          <t xml:space="preserve">УОА10-3</t>
        </is>
      </c>
      <c r="C58" s="3" t="inlineStr">
        <is>
          <t xml:space="preserve">Железобетонная</t>
        </is>
      </c>
      <c r="D58" s="3" t="inlineStr">
        <is>
          <t xml:space="preserve">Угловая ответвительная анкерная</t>
        </is>
      </c>
      <c r="E58" s="3" t="inlineStr">
        <is>
          <t xml:space="preserve">3.407.1-143 вып.3</t>
        </is>
      </c>
      <c r="F58" s="3" t="inlineStr">
        <is>
          <t xml:space="preserve">СВ13</t>
        </is>
      </c>
      <c r="G58" s="3" t="inlineStr">
        <is>
          <t xml:space="preserve">угловая анкерная</t>
        </is>
      </c>
      <c r="H58" s="3" t="n">
        <v>44</v>
      </c>
      <c r="I58" s="3" t="n">
        <v>9</v>
      </c>
      <c r="J58" s="3" t="n">
        <v>80</v>
      </c>
      <c r="K58" s="3" t="inlineStr">
        <is>
          <t xml:space="preserve">типовой проект</t>
        </is>
      </c>
    </row>
    <row r="59">
      <c r="A59" s="3" t="inlineStr">
        <is>
          <t xml:space="preserve">10</t>
        </is>
      </c>
      <c r="B59" s="3" t="inlineStr">
        <is>
          <t xml:space="preserve">Опора 10 (дерев.)</t>
        </is>
      </c>
      <c r="C59" s="3" t="inlineStr">
        <is>
          <t xml:space="preserve">Деревянная</t>
        </is>
      </c>
      <c r="D59" s="3" t="inlineStr">
        <is>
          <t xml:space="preserve">Промежуточная</t>
        </is>
      </c>
      <c r="E59" s="3" t="inlineStr">
        <is>
          <t xml:space="preserve">по проекту (дерев.)</t>
        </is>
      </c>
      <c r="F59" s="3" t="inlineStr">
        <is>
          <t xml:space="preserve">бревно d ≥ 180</t>
        </is>
      </c>
      <c r="G59" s="3" t="inlineStr">
        <is>
          <t xml:space="preserve">промежуточная</t>
        </is>
      </c>
      <c r="H59" s="3" t="n">
        <v>18</v>
      </c>
      <c r="I59" s="3" t="n">
        <v>7.5</v>
      </c>
      <c r="J59" s="3" t="n">
        <v>50</v>
      </c>
      <c r="K59" s="3" t="inlineStr">
        <is>
          <t xml:space="preserve">типовой проект</t>
        </is>
      </c>
    </row>
    <row r="60">
      <c r="A60" s="3" t="inlineStr">
        <is>
          <t xml:space="preserve">10</t>
        </is>
      </c>
      <c r="B60" s="3" t="inlineStr">
        <is>
          <t xml:space="preserve">Опора 10 (дерев. на приставке)</t>
        </is>
      </c>
      <c r="C60" s="3" t="inlineStr">
        <is>
          <t xml:space="preserve">Деревянная на ж/б приставке</t>
        </is>
      </c>
      <c r="D60" s="3" t="inlineStr">
        <is>
          <t xml:space="preserve">Промежуточная</t>
        </is>
      </c>
      <c r="E60" s="3" t="inlineStr">
        <is>
          <t xml:space="preserve">по проекту</t>
        </is>
      </c>
      <c r="F60" s="3" t="inlineStr">
        <is>
          <t xml:space="preserve">приставка ПТ-43</t>
        </is>
      </c>
      <c r="G60" s="3" t="inlineStr">
        <is>
          <t xml:space="preserve">промежуточная</t>
        </is>
      </c>
      <c r="H60" s="3" t="n">
        <v>24</v>
      </c>
      <c r="I60" s="3" t="n">
        <v>7.5</v>
      </c>
      <c r="J60" s="3" t="n">
        <v>50</v>
      </c>
      <c r="K60" s="3" t="inlineStr">
        <is>
          <t xml:space="preserve">типовой проект</t>
        </is>
      </c>
    </row>
    <row r="61">
      <c r="A61" s="3" t="inlineStr">
        <is>
          <t xml:space="preserve">10</t>
        </is>
      </c>
      <c r="B61" s="3" t="inlineStr">
        <is>
          <t xml:space="preserve">П20-1Н</t>
        </is>
      </c>
      <c r="C61" s="3" t="inlineStr">
        <is>
          <t xml:space="preserve">Железобетонная</t>
        </is>
      </c>
      <c r="D61" s="3" t="inlineStr">
        <is>
          <t xml:space="preserve">Промежуточная (защищённый провод)</t>
        </is>
      </c>
      <c r="E61" s="3" t="inlineStr">
        <is>
          <t xml:space="preserve">27.0002</t>
        </is>
      </c>
      <c r="F61" s="3" t="inlineStr">
        <is>
          <t xml:space="preserve">СВ105-5</t>
        </is>
      </c>
      <c r="G61" s="3" t="inlineStr">
        <is>
          <t xml:space="preserve">промежуточная</t>
        </is>
      </c>
      <c r="H61" s="3" t="n">
        <v>35</v>
      </c>
      <c r="I61" s="3" t="n">
        <v>8.2</v>
      </c>
      <c r="J61" s="3" t="n">
        <v>60</v>
      </c>
      <c r="K61" s="3" t="inlineStr">
        <is>
          <t xml:space="preserve">по аналогии со стойкой</t>
        </is>
      </c>
    </row>
    <row r="62">
      <c r="A62" s="3" t="inlineStr">
        <is>
          <t xml:space="preserve">10</t>
        </is>
      </c>
      <c r="B62" s="3" t="inlineStr">
        <is>
          <t xml:space="preserve">УП20-1Н</t>
        </is>
      </c>
      <c r="C62" s="3" t="inlineStr">
        <is>
          <t xml:space="preserve">Железобетонная</t>
        </is>
      </c>
      <c r="D62" s="3" t="inlineStr">
        <is>
          <t xml:space="preserve">Промежуточно-угловая (защищённый провод)</t>
        </is>
      </c>
      <c r="E62" s="3" t="inlineStr">
        <is>
          <t xml:space="preserve">27.0002</t>
        </is>
      </c>
      <c r="F62" s="3" t="inlineStr">
        <is>
          <t xml:space="preserve">СВ105-5</t>
        </is>
      </c>
      <c r="G62" s="3" t="inlineStr">
        <is>
          <t xml:space="preserve">угловая</t>
        </is>
      </c>
      <c r="H62" s="3" t="n">
        <v>35</v>
      </c>
      <c r="I62" s="3" t="n">
        <v>8.2</v>
      </c>
      <c r="J62" s="3" t="n">
        <v>60</v>
      </c>
      <c r="K62" s="3" t="inlineStr">
        <is>
          <t xml:space="preserve">по аналогии со стойкой</t>
        </is>
      </c>
    </row>
    <row r="63">
      <c r="A63" s="3" t="inlineStr">
        <is>
          <t xml:space="preserve">10</t>
        </is>
      </c>
      <c r="B63" s="3" t="inlineStr">
        <is>
          <t xml:space="preserve">А20-1Н</t>
        </is>
      </c>
      <c r="C63" s="3" t="inlineStr">
        <is>
          <t xml:space="preserve">Железобетонная</t>
        </is>
      </c>
      <c r="D63" s="3" t="inlineStr">
        <is>
          <t xml:space="preserve">Анкерная (концевая) (защищённый провод)</t>
        </is>
      </c>
      <c r="E63" s="3" t="inlineStr">
        <is>
          <t xml:space="preserve">27.0002</t>
        </is>
      </c>
      <c r="F63" s="3" t="inlineStr">
        <is>
          <t xml:space="preserve">СВ105-5</t>
        </is>
      </c>
      <c r="G63" s="3" t="inlineStr">
        <is>
          <t xml:space="preserve">концевая</t>
        </is>
      </c>
      <c r="H63" s="3" t="n">
        <v>35</v>
      </c>
      <c r="I63" s="3" t="n">
        <v>8.2</v>
      </c>
      <c r="J63" s="3" t="n">
        <v>60</v>
      </c>
      <c r="K63" s="3" t="inlineStr">
        <is>
          <t xml:space="preserve">по аналогии со стойкой</t>
        </is>
      </c>
    </row>
    <row r="64">
      <c r="A64" s="3" t="inlineStr">
        <is>
          <t xml:space="preserve">10</t>
        </is>
      </c>
      <c r="B64" s="3" t="inlineStr">
        <is>
          <t xml:space="preserve">УА20-1Н</t>
        </is>
      </c>
      <c r="C64" s="3" t="inlineStr">
        <is>
          <t xml:space="preserve">Железобетонная</t>
        </is>
      </c>
      <c r="D64" s="3" t="inlineStr">
        <is>
          <t xml:space="preserve">Анкерная угловая (защищённый провод)</t>
        </is>
      </c>
      <c r="E64" s="3" t="inlineStr">
        <is>
          <t xml:space="preserve">27.0002</t>
        </is>
      </c>
      <c r="F64" s="3" t="inlineStr">
        <is>
          <t xml:space="preserve">СВ105-5</t>
        </is>
      </c>
      <c r="G64" s="3" t="inlineStr">
        <is>
          <t xml:space="preserve">угловая анкерная</t>
        </is>
      </c>
      <c r="H64" s="3" t="n">
        <v>35</v>
      </c>
      <c r="I64" s="3" t="n">
        <v>8.2</v>
      </c>
      <c r="J64" s="3" t="n">
        <v>60</v>
      </c>
      <c r="K64" s="3" t="inlineStr">
        <is>
          <t xml:space="preserve">по аналогии со стойкой</t>
        </is>
      </c>
    </row>
    <row r="65">
      <c r="A65" s="3" t="inlineStr">
        <is>
          <t xml:space="preserve">10</t>
        </is>
      </c>
      <c r="B65" s="3" t="inlineStr">
        <is>
          <t xml:space="preserve">ОА20-1Н</t>
        </is>
      </c>
      <c r="C65" s="3" t="inlineStr">
        <is>
          <t xml:space="preserve">Железобетонная</t>
        </is>
      </c>
      <c r="D65" s="3" t="inlineStr">
        <is>
          <t xml:space="preserve">Ответвительная анкерная (защищённый провод)</t>
        </is>
      </c>
      <c r="E65" s="3" t="inlineStr">
        <is>
          <t xml:space="preserve">27.0002</t>
        </is>
      </c>
      <c r="F65" s="3" t="inlineStr">
        <is>
          <t xml:space="preserve">СВ105-5</t>
        </is>
      </c>
      <c r="G65" s="3" t="inlineStr">
        <is>
          <t xml:space="preserve">ответвительная</t>
        </is>
      </c>
      <c r="H65" s="3" t="n">
        <v>35</v>
      </c>
      <c r="I65" s="3" t="n">
        <v>8.2</v>
      </c>
      <c r="J65" s="3" t="n">
        <v>60</v>
      </c>
      <c r="K65" s="3" t="inlineStr">
        <is>
          <t xml:space="preserve">по аналогии со стойкой</t>
        </is>
      </c>
    </row>
    <row r="66">
      <c r="A66" s="3" t="inlineStr">
        <is>
          <t xml:space="preserve">10</t>
        </is>
      </c>
      <c r="B66" s="3" t="inlineStr">
        <is>
          <t xml:space="preserve">УОА20-1Н</t>
        </is>
      </c>
      <c r="C66" s="3" t="inlineStr">
        <is>
          <t xml:space="preserve">Железобетонная</t>
        </is>
      </c>
      <c r="D66" s="3" t="inlineStr">
        <is>
          <t xml:space="preserve">Угловая ответвительная анкерная (защищённый провод)</t>
        </is>
      </c>
      <c r="E66" s="3" t="inlineStr">
        <is>
          <t xml:space="preserve">27.0002</t>
        </is>
      </c>
      <c r="F66" s="3" t="inlineStr">
        <is>
          <t xml:space="preserve">СВ105-5</t>
        </is>
      </c>
      <c r="G66" s="3" t="inlineStr">
        <is>
          <t xml:space="preserve">угловая анкерная</t>
        </is>
      </c>
      <c r="H66" s="3" t="n">
        <v>35</v>
      </c>
      <c r="I66" s="3" t="n">
        <v>8.2</v>
      </c>
      <c r="J66" s="3" t="n">
        <v>60</v>
      </c>
      <c r="K66" s="3" t="inlineStr">
        <is>
          <t xml:space="preserve">по аналогии со стойкой</t>
        </is>
      </c>
    </row>
    <row r="67">
      <c r="A67" s="3" t="inlineStr">
        <is>
          <t xml:space="preserve">10</t>
        </is>
      </c>
      <c r="B67" s="3" t="inlineStr">
        <is>
          <t xml:space="preserve">П20-3Н</t>
        </is>
      </c>
      <c r="C67" s="3" t="inlineStr">
        <is>
          <t xml:space="preserve">Железобетонная</t>
        </is>
      </c>
      <c r="D67" s="3" t="inlineStr">
        <is>
          <t xml:space="preserve">Промежуточная (защищённый провод)</t>
        </is>
      </c>
      <c r="E67" s="3" t="inlineStr">
        <is>
          <t xml:space="preserve">27.0002</t>
        </is>
      </c>
      <c r="F67" s="3" t="inlineStr">
        <is>
          <t xml:space="preserve">СВ110-5</t>
        </is>
      </c>
      <c r="G67" s="3" t="inlineStr">
        <is>
          <t xml:space="preserve">промежуточная</t>
        </is>
      </c>
      <c r="H67" s="3" t="n">
        <v>40</v>
      </c>
      <c r="I67" s="3" t="n">
        <v>8.5</v>
      </c>
      <c r="J67" s="3" t="n">
        <v>70</v>
      </c>
      <c r="K67" s="3" t="inlineStr">
        <is>
          <t xml:space="preserve">по аналогии со стойкой</t>
        </is>
      </c>
    </row>
    <row r="68">
      <c r="A68" s="3" t="inlineStr">
        <is>
          <t xml:space="preserve">10</t>
        </is>
      </c>
      <c r="B68" s="3" t="inlineStr">
        <is>
          <t xml:space="preserve">УП20-3Н</t>
        </is>
      </c>
      <c r="C68" s="3" t="inlineStr">
        <is>
          <t xml:space="preserve">Железобетонная</t>
        </is>
      </c>
      <c r="D68" s="3" t="inlineStr">
        <is>
          <t xml:space="preserve">Промежуточно-угловая (защищённый провод)</t>
        </is>
      </c>
      <c r="E68" s="3" t="inlineStr">
        <is>
          <t xml:space="preserve">27.0002</t>
        </is>
      </c>
      <c r="F68" s="3" t="inlineStr">
        <is>
          <t xml:space="preserve">СВ110-5</t>
        </is>
      </c>
      <c r="G68" s="3" t="inlineStr">
        <is>
          <t xml:space="preserve">угловая</t>
        </is>
      </c>
      <c r="H68" s="3" t="n">
        <v>40</v>
      </c>
      <c r="I68" s="3" t="n">
        <v>8.5</v>
      </c>
      <c r="J68" s="3" t="n">
        <v>70</v>
      </c>
      <c r="K68" s="3" t="inlineStr">
        <is>
          <t xml:space="preserve">по аналогии со стойкой</t>
        </is>
      </c>
    </row>
    <row r="69">
      <c r="A69" s="3" t="inlineStr">
        <is>
          <t xml:space="preserve">10</t>
        </is>
      </c>
      <c r="B69" s="3" t="inlineStr">
        <is>
          <t xml:space="preserve">А20-3Н</t>
        </is>
      </c>
      <c r="C69" s="3" t="inlineStr">
        <is>
          <t xml:space="preserve">Железобетонная</t>
        </is>
      </c>
      <c r="D69" s="3" t="inlineStr">
        <is>
          <t xml:space="preserve">Анкерная (концевая) (защищённый провод)</t>
        </is>
      </c>
      <c r="E69" s="3" t="inlineStr">
        <is>
          <t xml:space="preserve">27.0002</t>
        </is>
      </c>
      <c r="F69" s="3" t="inlineStr">
        <is>
          <t xml:space="preserve">СВ110-5</t>
        </is>
      </c>
      <c r="G69" s="3" t="inlineStr">
        <is>
          <t xml:space="preserve">концевая</t>
        </is>
      </c>
      <c r="H69" s="3" t="n">
        <v>40</v>
      </c>
      <c r="I69" s="3" t="n">
        <v>8.5</v>
      </c>
      <c r="J69" s="3" t="n">
        <v>70</v>
      </c>
      <c r="K69" s="3" t="inlineStr">
        <is>
          <t xml:space="preserve">по аналогии со стойкой</t>
        </is>
      </c>
    </row>
    <row r="70">
      <c r="A70" s="3" t="inlineStr">
        <is>
          <t xml:space="preserve">10</t>
        </is>
      </c>
      <c r="B70" s="3" t="inlineStr">
        <is>
          <t xml:space="preserve">УА20-3Н</t>
        </is>
      </c>
      <c r="C70" s="3" t="inlineStr">
        <is>
          <t xml:space="preserve">Железобетонная</t>
        </is>
      </c>
      <c r="D70" s="3" t="inlineStr">
        <is>
          <t xml:space="preserve">Анкерная угловая (защищённый провод)</t>
        </is>
      </c>
      <c r="E70" s="3" t="inlineStr">
        <is>
          <t xml:space="preserve">27.0002</t>
        </is>
      </c>
      <c r="F70" s="3" t="inlineStr">
        <is>
          <t xml:space="preserve">СВ110-5</t>
        </is>
      </c>
      <c r="G70" s="3" t="inlineStr">
        <is>
          <t xml:space="preserve">угловая анкерная</t>
        </is>
      </c>
      <c r="H70" s="3" t="n">
        <v>40</v>
      </c>
      <c r="I70" s="3" t="n">
        <v>8.5</v>
      </c>
      <c r="J70" s="3" t="n">
        <v>70</v>
      </c>
      <c r="K70" s="3" t="inlineStr">
        <is>
          <t xml:space="preserve">по аналогии со стойкой</t>
        </is>
      </c>
    </row>
    <row r="71">
      <c r="A71" s="3" t="inlineStr">
        <is>
          <t xml:space="preserve">10</t>
        </is>
      </c>
      <c r="B71" s="3" t="inlineStr">
        <is>
          <t xml:space="preserve">ОА20-3Н</t>
        </is>
      </c>
      <c r="C71" s="3" t="inlineStr">
        <is>
          <t xml:space="preserve">Железобетонная</t>
        </is>
      </c>
      <c r="D71" s="3" t="inlineStr">
        <is>
          <t xml:space="preserve">Ответвительная анкерная (защищённый провод)</t>
        </is>
      </c>
      <c r="E71" s="3" t="inlineStr">
        <is>
          <t xml:space="preserve">27.0002</t>
        </is>
      </c>
      <c r="F71" s="3" t="inlineStr">
        <is>
          <t xml:space="preserve">СВ110-5</t>
        </is>
      </c>
      <c r="G71" s="3" t="inlineStr">
        <is>
          <t xml:space="preserve">ответвительная</t>
        </is>
      </c>
      <c r="H71" s="3" t="n">
        <v>40</v>
      </c>
      <c r="I71" s="3" t="n">
        <v>8.5</v>
      </c>
      <c r="J71" s="3" t="n">
        <v>70</v>
      </c>
      <c r="K71" s="3" t="inlineStr">
        <is>
          <t xml:space="preserve">по аналогии со стойкой</t>
        </is>
      </c>
    </row>
    <row r="72">
      <c r="A72" s="3" t="inlineStr">
        <is>
          <t xml:space="preserve">10</t>
        </is>
      </c>
      <c r="B72" s="3" t="inlineStr">
        <is>
          <t xml:space="preserve">УОА20-3Н</t>
        </is>
      </c>
      <c r="C72" s="3" t="inlineStr">
        <is>
          <t xml:space="preserve">Железобетонная</t>
        </is>
      </c>
      <c r="D72" s="3" t="inlineStr">
        <is>
          <t xml:space="preserve">Угловая ответвительная анкерная (защищённый провод)</t>
        </is>
      </c>
      <c r="E72" s="3" t="inlineStr">
        <is>
          <t xml:space="preserve">27.0002</t>
        </is>
      </c>
      <c r="F72" s="3" t="inlineStr">
        <is>
          <t xml:space="preserve">СВ110-5</t>
        </is>
      </c>
      <c r="G72" s="3" t="inlineStr">
        <is>
          <t xml:space="preserve">угловая анкерная</t>
        </is>
      </c>
      <c r="H72" s="3" t="n">
        <v>40</v>
      </c>
      <c r="I72" s="3" t="n">
        <v>8.5</v>
      </c>
      <c r="J72" s="3" t="n">
        <v>70</v>
      </c>
      <c r="K72" s="3" t="inlineStr">
        <is>
          <t xml:space="preserve">по аналогии со стойкой</t>
        </is>
      </c>
    </row>
    <row r="73">
      <c r="A73" s="3" t="inlineStr">
        <is>
          <t xml:space="preserve">10</t>
        </is>
      </c>
      <c r="B73" s="3" t="inlineStr">
        <is>
          <t xml:space="preserve">П10-11м</t>
        </is>
      </c>
      <c r="C73" s="3" t="inlineStr">
        <is>
          <t xml:space="preserve">Железобетонная</t>
        </is>
      </c>
      <c r="D73" s="3" t="inlineStr">
        <is>
          <t xml:space="preserve">Промежуточная (ненасел.)</t>
        </is>
      </c>
      <c r="E73" s="3" t="inlineStr">
        <is>
          <t xml:space="preserve">28.0006</t>
        </is>
      </c>
      <c r="F73" s="3" t="inlineStr">
        <is>
          <t xml:space="preserve">СВ115-7</t>
        </is>
      </c>
      <c r="G73" s="3" t="inlineStr">
        <is>
          <t xml:space="preserve">промежуточная</t>
        </is>
      </c>
      <c r="H73" s="3" t="n">
        <v>44</v>
      </c>
      <c r="I73" s="3" t="n">
        <v>9.5</v>
      </c>
      <c r="J73" s="3" t="n">
        <v>80</v>
      </c>
      <c r="K73" s="3" t="inlineStr">
        <is>
          <t xml:space="preserve">по аналогии со стойкой</t>
        </is>
      </c>
    </row>
    <row r="74">
      <c r="A74" s="3" t="inlineStr">
        <is>
          <t xml:space="preserve">10</t>
        </is>
      </c>
      <c r="B74" s="3" t="inlineStr">
        <is>
          <t xml:space="preserve">П10-11н</t>
        </is>
      </c>
      <c r="C74" s="3" t="inlineStr">
        <is>
          <t xml:space="preserve">Железобетонная</t>
        </is>
      </c>
      <c r="D74" s="3" t="inlineStr">
        <is>
          <t xml:space="preserve">Промежуточная (насел.)</t>
        </is>
      </c>
      <c r="E74" s="3" t="inlineStr">
        <is>
          <t xml:space="preserve">28.0006</t>
        </is>
      </c>
      <c r="F74" s="3" t="inlineStr">
        <is>
          <t xml:space="preserve">СВ115-7</t>
        </is>
      </c>
      <c r="G74" s="3" t="inlineStr">
        <is>
          <t xml:space="preserve">промежуточная</t>
        </is>
      </c>
      <c r="H74" s="3" t="n">
        <v>44</v>
      </c>
      <c r="I74" s="3" t="n">
        <v>9.5</v>
      </c>
      <c r="J74" s="3" t="n">
        <v>80</v>
      </c>
      <c r="K74" s="3" t="inlineStr">
        <is>
          <t xml:space="preserve">по аналогии со стойкой</t>
        </is>
      </c>
    </row>
    <row r="75">
      <c r="A75" s="3" t="inlineStr">
        <is>
          <t xml:space="preserve">10</t>
        </is>
      </c>
      <c r="B75" s="3" t="inlineStr">
        <is>
          <t xml:space="preserve">УП10-11</t>
        </is>
      </c>
      <c r="C75" s="3" t="inlineStr">
        <is>
          <t xml:space="preserve">Железобетонная</t>
        </is>
      </c>
      <c r="D75" s="3" t="inlineStr">
        <is>
          <t xml:space="preserve">Промежуточно-угловая</t>
        </is>
      </c>
      <c r="E75" s="3" t="inlineStr">
        <is>
          <t xml:space="preserve">28.0006</t>
        </is>
      </c>
      <c r="F75" s="3" t="inlineStr">
        <is>
          <t xml:space="preserve">СВ115-7</t>
        </is>
      </c>
      <c r="G75" s="3" t="inlineStr">
        <is>
          <t xml:space="preserve">угловая</t>
        </is>
      </c>
      <c r="H75" s="3" t="n">
        <v>44</v>
      </c>
      <c r="I75" s="3" t="n">
        <v>9.5</v>
      </c>
      <c r="J75" s="3" t="n">
        <v>80</v>
      </c>
      <c r="K75" s="3" t="inlineStr">
        <is>
          <t xml:space="preserve">по аналогии со стойкой</t>
        </is>
      </c>
    </row>
    <row r="76">
      <c r="A76" s="3" t="inlineStr">
        <is>
          <t xml:space="preserve">10</t>
        </is>
      </c>
      <c r="B76" s="3" t="inlineStr">
        <is>
          <t xml:space="preserve">А10-11</t>
        </is>
      </c>
      <c r="C76" s="3" t="inlineStr">
        <is>
          <t xml:space="preserve">Железобетонная</t>
        </is>
      </c>
      <c r="D76" s="3" t="inlineStr">
        <is>
          <t xml:space="preserve">Анкерная (концевая)</t>
        </is>
      </c>
      <c r="E76" s="3" t="inlineStr">
        <is>
          <t xml:space="preserve">28.0006</t>
        </is>
      </c>
      <c r="F76" s="3" t="inlineStr">
        <is>
          <t xml:space="preserve">СВ115-7</t>
        </is>
      </c>
      <c r="G76" s="3" t="inlineStr">
        <is>
          <t xml:space="preserve">концевая</t>
        </is>
      </c>
      <c r="H76" s="3" t="n">
        <v>44</v>
      </c>
      <c r="I76" s="3" t="n">
        <v>9.5</v>
      </c>
      <c r="J76" s="3" t="n">
        <v>80</v>
      </c>
      <c r="K76" s="3" t="inlineStr">
        <is>
          <t xml:space="preserve">по аналогии со стойкой</t>
        </is>
      </c>
    </row>
    <row r="77">
      <c r="A77" s="3" t="inlineStr">
        <is>
          <t xml:space="preserve">10</t>
        </is>
      </c>
      <c r="B77" s="3" t="inlineStr">
        <is>
          <t xml:space="preserve">УА10-11</t>
        </is>
      </c>
      <c r="C77" s="3" t="inlineStr">
        <is>
          <t xml:space="preserve">Железобетонная</t>
        </is>
      </c>
      <c r="D77" s="3" t="inlineStr">
        <is>
          <t xml:space="preserve">Анкерная угловая</t>
        </is>
      </c>
      <c r="E77" s="3" t="inlineStr">
        <is>
          <t xml:space="preserve">28.0006</t>
        </is>
      </c>
      <c r="F77" s="3" t="inlineStr">
        <is>
          <t xml:space="preserve">СВ115-7</t>
        </is>
      </c>
      <c r="G77" s="3" t="inlineStr">
        <is>
          <t xml:space="preserve">угловая анкерная</t>
        </is>
      </c>
      <c r="H77" s="3" t="n">
        <v>44</v>
      </c>
      <c r="I77" s="3" t="n">
        <v>9.5</v>
      </c>
      <c r="J77" s="3" t="n">
        <v>80</v>
      </c>
      <c r="K77" s="3" t="inlineStr">
        <is>
          <t xml:space="preserve">по аналогии со стойкой</t>
        </is>
      </c>
    </row>
    <row r="78">
      <c r="A78" s="3" t="inlineStr">
        <is>
          <t xml:space="preserve">10</t>
        </is>
      </c>
      <c r="B78" s="3" t="inlineStr">
        <is>
          <t xml:space="preserve">ОА10-11</t>
        </is>
      </c>
      <c r="C78" s="3" t="inlineStr">
        <is>
          <t xml:space="preserve">Железобетонная</t>
        </is>
      </c>
      <c r="D78" s="3" t="inlineStr">
        <is>
          <t xml:space="preserve">Ответвительная анкерная</t>
        </is>
      </c>
      <c r="E78" s="3" t="inlineStr">
        <is>
          <t xml:space="preserve">28.0006</t>
        </is>
      </c>
      <c r="F78" s="3" t="inlineStr">
        <is>
          <t xml:space="preserve">СВ115-7</t>
        </is>
      </c>
      <c r="G78" s="3" t="inlineStr">
        <is>
          <t xml:space="preserve">ответвительная</t>
        </is>
      </c>
      <c r="H78" s="3" t="n">
        <v>44</v>
      </c>
      <c r="I78" s="3" t="n">
        <v>9.5</v>
      </c>
      <c r="J78" s="3" t="n">
        <v>80</v>
      </c>
      <c r="K78" s="3" t="inlineStr">
        <is>
          <t xml:space="preserve">по аналогии со стойкой</t>
        </is>
      </c>
    </row>
    <row r="79">
      <c r="A79" s="3" t="inlineStr">
        <is>
          <t xml:space="preserve">10</t>
        </is>
      </c>
      <c r="B79" s="3" t="inlineStr">
        <is>
          <t xml:space="preserve">УОА10-11</t>
        </is>
      </c>
      <c r="C79" s="3" t="inlineStr">
        <is>
          <t xml:space="preserve">Железобетонная</t>
        </is>
      </c>
      <c r="D79" s="3" t="inlineStr">
        <is>
          <t xml:space="preserve">Угловая ответвительная анкерная</t>
        </is>
      </c>
      <c r="E79" s="3" t="inlineStr">
        <is>
          <t xml:space="preserve">28.0006</t>
        </is>
      </c>
      <c r="F79" s="3" t="inlineStr">
        <is>
          <t xml:space="preserve">СВ115-7</t>
        </is>
      </c>
      <c r="G79" s="3" t="inlineStr">
        <is>
          <t xml:space="preserve">угловая анкерная</t>
        </is>
      </c>
      <c r="H79" s="3" t="n">
        <v>44</v>
      </c>
      <c r="I79" s="3" t="n">
        <v>9.5</v>
      </c>
      <c r="J79" s="3" t="n">
        <v>80</v>
      </c>
      <c r="K79" s="3" t="inlineStr">
        <is>
          <t xml:space="preserve">по аналогии со стойкой</t>
        </is>
      </c>
    </row>
    <row r="80">
      <c r="A80" s="3" t="inlineStr">
        <is>
          <t xml:space="preserve">10</t>
        </is>
      </c>
      <c r="B80" s="3" t="inlineStr">
        <is>
          <t xml:space="preserve">ПМ10-1</t>
        </is>
      </c>
      <c r="C80" s="3" t="inlineStr">
        <is>
          <t xml:space="preserve">Стальная многогранная</t>
        </is>
      </c>
      <c r="D80" s="3" t="inlineStr">
        <is>
          <t xml:space="preserve">Промежуточная (ненасел.)</t>
        </is>
      </c>
      <c r="E80" s="3" t="inlineStr">
        <is>
          <t xml:space="preserve">22.0028</t>
        </is>
      </c>
      <c r="F80" s="3" t="inlineStr">
        <is>
          <t xml:space="preserve">СМ110-6б</t>
        </is>
      </c>
      <c r="G80" s="3" t="inlineStr">
        <is>
          <t xml:space="preserve">промежуточная</t>
        </is>
      </c>
      <c r="H80" s="3" t="n">
        <v>20</v>
      </c>
      <c r="I80" s="3" t="n">
        <v>8.5</v>
      </c>
      <c r="J80" s="3" t="n">
        <v>80</v>
      </c>
      <c r="K80" s="3" t="inlineStr">
        <is>
          <t xml:space="preserve">по аналогии со стойкой</t>
        </is>
      </c>
    </row>
    <row r="81">
      <c r="A81" s="3" t="inlineStr">
        <is>
          <t xml:space="preserve">10</t>
        </is>
      </c>
      <c r="B81" s="3" t="inlineStr">
        <is>
          <t xml:space="preserve">ПМ10-2</t>
        </is>
      </c>
      <c r="C81" s="3" t="inlineStr">
        <is>
          <t xml:space="preserve">Стальная многогранная</t>
        </is>
      </c>
      <c r="D81" s="3" t="inlineStr">
        <is>
          <t xml:space="preserve">Промежуточная (насел.)</t>
        </is>
      </c>
      <c r="E81" s="3" t="inlineStr">
        <is>
          <t xml:space="preserve">22.0028</t>
        </is>
      </c>
      <c r="F81" s="3" t="inlineStr">
        <is>
          <t xml:space="preserve">СМ110-6б</t>
        </is>
      </c>
      <c r="G81" s="3" t="inlineStr">
        <is>
          <t xml:space="preserve">промежуточная</t>
        </is>
      </c>
      <c r="H81" s="3" t="n">
        <v>20</v>
      </c>
      <c r="I81" s="3" t="n">
        <v>8.5</v>
      </c>
      <c r="J81" s="3" t="n">
        <v>80</v>
      </c>
      <c r="K81" s="3" t="inlineStr">
        <is>
          <t xml:space="preserve">по аналогии со стойкой</t>
        </is>
      </c>
    </row>
    <row r="82">
      <c r="A82" s="3" t="inlineStr">
        <is>
          <t xml:space="preserve">10</t>
        </is>
      </c>
      <c r="B82" s="3" t="inlineStr">
        <is>
          <t xml:space="preserve">УПМ10-1</t>
        </is>
      </c>
      <c r="C82" s="3" t="inlineStr">
        <is>
          <t xml:space="preserve">Стальная многогранная</t>
        </is>
      </c>
      <c r="D82" s="3" t="inlineStr">
        <is>
          <t xml:space="preserve">Промежуточно-угловая</t>
        </is>
      </c>
      <c r="E82" s="3" t="inlineStr">
        <is>
          <t xml:space="preserve">22.0028</t>
        </is>
      </c>
      <c r="F82" s="3" t="inlineStr">
        <is>
          <t xml:space="preserve">СМ118-25</t>
        </is>
      </c>
      <c r="G82" s="3" t="inlineStr">
        <is>
          <t xml:space="preserve">угловая</t>
        </is>
      </c>
      <c r="H82" s="3" t="n">
        <v>25</v>
      </c>
      <c r="I82" s="3" t="n">
        <v>9</v>
      </c>
      <c r="J82" s="3" t="n">
        <v>80</v>
      </c>
      <c r="K82" s="3" t="inlineStr">
        <is>
          <t xml:space="preserve">по аналогии со стойкой</t>
        </is>
      </c>
    </row>
    <row r="83">
      <c r="A83" s="3" t="inlineStr">
        <is>
          <t xml:space="preserve">10</t>
        </is>
      </c>
      <c r="B83" s="3" t="inlineStr">
        <is>
          <t xml:space="preserve">АМ10-1</t>
        </is>
      </c>
      <c r="C83" s="3" t="inlineStr">
        <is>
          <t xml:space="preserve">Стальная многогранная</t>
        </is>
      </c>
      <c r="D83" s="3" t="inlineStr">
        <is>
          <t xml:space="preserve">Анкерная (концевая)</t>
        </is>
      </c>
      <c r="E83" s="3" t="inlineStr">
        <is>
          <t xml:space="preserve">22.0028</t>
        </is>
      </c>
      <c r="F83" s="3" t="inlineStr">
        <is>
          <t xml:space="preserve">СМ118-25</t>
        </is>
      </c>
      <c r="G83" s="3" t="inlineStr">
        <is>
          <t xml:space="preserve">концевая</t>
        </is>
      </c>
      <c r="H83" s="3" t="n">
        <v>25</v>
      </c>
      <c r="I83" s="3" t="n">
        <v>9</v>
      </c>
      <c r="J83" s="3" t="n">
        <v>80</v>
      </c>
      <c r="K83" s="3" t="inlineStr">
        <is>
          <t xml:space="preserve">по аналогии со стойкой</t>
        </is>
      </c>
    </row>
    <row r="84">
      <c r="A84" s="3" t="inlineStr">
        <is>
          <t xml:space="preserve">10</t>
        </is>
      </c>
      <c r="B84" s="3" t="inlineStr">
        <is>
          <t xml:space="preserve">УАМ10-1</t>
        </is>
      </c>
      <c r="C84" s="3" t="inlineStr">
        <is>
          <t xml:space="preserve">Стальная многогранная</t>
        </is>
      </c>
      <c r="D84" s="3" t="inlineStr">
        <is>
          <t xml:space="preserve">Анкерная угловая</t>
        </is>
      </c>
      <c r="E84" s="3" t="inlineStr">
        <is>
          <t xml:space="preserve">22.0028</t>
        </is>
      </c>
      <c r="F84" s="3" t="inlineStr">
        <is>
          <t xml:space="preserve">СМ118-25</t>
        </is>
      </c>
      <c r="G84" s="3" t="inlineStr">
        <is>
          <t xml:space="preserve">угловая анкерная</t>
        </is>
      </c>
      <c r="H84" s="3" t="n">
        <v>25</v>
      </c>
      <c r="I84" s="3" t="n">
        <v>9</v>
      </c>
      <c r="J84" s="3" t="n">
        <v>80</v>
      </c>
      <c r="K84" s="3" t="inlineStr">
        <is>
          <t xml:space="preserve">по аналогии со стойкой</t>
        </is>
      </c>
    </row>
    <row r="85">
      <c r="A85" s="3" t="inlineStr">
        <is>
          <t xml:space="preserve">10</t>
        </is>
      </c>
      <c r="B85" s="3" t="inlineStr">
        <is>
          <t xml:space="preserve">ОАМ10-1</t>
        </is>
      </c>
      <c r="C85" s="3" t="inlineStr">
        <is>
          <t xml:space="preserve">Стальная многогранная</t>
        </is>
      </c>
      <c r="D85" s="3" t="inlineStr">
        <is>
          <t xml:space="preserve">Ответвительная анкерная</t>
        </is>
      </c>
      <c r="E85" s="3" t="inlineStr">
        <is>
          <t xml:space="preserve">22.0028</t>
        </is>
      </c>
      <c r="F85" s="3" t="inlineStr">
        <is>
          <t xml:space="preserve">СМ118-25</t>
        </is>
      </c>
      <c r="G85" s="3" t="inlineStr">
        <is>
          <t xml:space="preserve">ответвительная</t>
        </is>
      </c>
      <c r="H85" s="3" t="n">
        <v>25</v>
      </c>
      <c r="I85" s="3" t="n">
        <v>9</v>
      </c>
      <c r="J85" s="3" t="n">
        <v>80</v>
      </c>
      <c r="K85" s="3" t="inlineStr">
        <is>
          <t xml:space="preserve">по аналогии со стойкой</t>
        </is>
      </c>
    </row>
    <row r="86">
      <c r="A86" s="3" t="inlineStr">
        <is>
          <t xml:space="preserve">10</t>
        </is>
      </c>
      <c r="B86" s="3" t="inlineStr">
        <is>
          <t xml:space="preserve">ППМ10-1</t>
        </is>
      </c>
      <c r="C86" s="3" t="inlineStr">
        <is>
          <t xml:space="preserve">Стальная многогранная</t>
        </is>
      </c>
      <c r="D86" s="3" t="inlineStr">
        <is>
          <t xml:space="preserve">Переходная промежуточная</t>
        </is>
      </c>
      <c r="E86" s="3" t="inlineStr">
        <is>
          <t xml:space="preserve">22.0028</t>
        </is>
      </c>
      <c r="F86" s="3" t="inlineStr">
        <is>
          <t xml:space="preserve">СМ118-25</t>
        </is>
      </c>
      <c r="G86" s="3" t="inlineStr">
        <is>
          <t xml:space="preserve">промежуточная</t>
        </is>
      </c>
      <c r="H86" s="3" t="n">
        <v>25</v>
      </c>
      <c r="I86" s="3" t="n">
        <v>10</v>
      </c>
      <c r="J86" s="3" t="n">
        <v>100</v>
      </c>
      <c r="K86" s="3" t="inlineStr">
        <is>
          <t xml:space="preserve">по аналогии со стойкой</t>
        </is>
      </c>
    </row>
    <row r="87">
      <c r="A87" s="3" t="inlineStr">
        <is>
          <t xml:space="preserve">10</t>
        </is>
      </c>
      <c r="B87" s="3" t="inlineStr">
        <is>
          <t xml:space="preserve">ПАМ10-1</t>
        </is>
      </c>
      <c r="C87" s="3" t="inlineStr">
        <is>
          <t xml:space="preserve">Стальная многогранная</t>
        </is>
      </c>
      <c r="D87" s="3" t="inlineStr">
        <is>
          <t xml:space="preserve">Переходная анкерная</t>
        </is>
      </c>
      <c r="E87" s="3" t="inlineStr">
        <is>
          <t xml:space="preserve">22.0028</t>
        </is>
      </c>
      <c r="F87" s="3" t="inlineStr">
        <is>
          <t xml:space="preserve">СМ118-25</t>
        </is>
      </c>
      <c r="G87" s="3" t="inlineStr">
        <is>
          <t xml:space="preserve">анкерная</t>
        </is>
      </c>
      <c r="H87" s="3" t="n">
        <v>25</v>
      </c>
      <c r="I87" s="3" t="n">
        <v>10</v>
      </c>
      <c r="J87" s="3" t="n">
        <v>100</v>
      </c>
      <c r="K87" s="3" t="inlineStr">
        <is>
          <t xml:space="preserve">по аналогии со стойкой</t>
        </is>
      </c>
    </row>
    <row r="88">
      <c r="A88" s="3" t="inlineStr">
        <is>
          <t xml:space="preserve">10</t>
        </is>
      </c>
      <c r="B88" s="3" t="inlineStr">
        <is>
          <t xml:space="preserve">ПАМ10-2</t>
        </is>
      </c>
      <c r="C88" s="3" t="inlineStr">
        <is>
          <t xml:space="preserve">Стальная многогранная</t>
        </is>
      </c>
      <c r="D88" s="3" t="inlineStr">
        <is>
          <t xml:space="preserve">Переходная анкерная</t>
        </is>
      </c>
      <c r="E88" s="3" t="inlineStr">
        <is>
          <t xml:space="preserve">22.0028</t>
        </is>
      </c>
      <c r="F88" s="3" t="inlineStr">
        <is>
          <t xml:space="preserve">СМ118-25</t>
        </is>
      </c>
      <c r="G88" s="3" t="inlineStr">
        <is>
          <t xml:space="preserve">анкерная</t>
        </is>
      </c>
      <c r="H88" s="3" t="n">
        <v>25</v>
      </c>
      <c r="I88" s="3" t="n">
        <v>10</v>
      </c>
      <c r="J88" s="3" t="n">
        <v>100</v>
      </c>
      <c r="K88" s="3" t="inlineStr">
        <is>
          <t xml:space="preserve">по аналогии со стойкой</t>
        </is>
      </c>
    </row>
    <row r="89">
      <c r="A89" s="3" t="inlineStr">
        <is>
          <t xml:space="preserve">10</t>
        </is>
      </c>
      <c r="B89" s="3" t="inlineStr">
        <is>
          <t xml:space="preserve">СМ10П</t>
        </is>
      </c>
      <c r="C89" s="3" t="inlineStr">
        <is>
          <t xml:space="preserve">Стальная многогранная</t>
        </is>
      </c>
      <c r="D89" s="3" t="inlineStr">
        <is>
          <t xml:space="preserve">Промежуточная</t>
        </is>
      </c>
      <c r="E89" s="3" t="inlineStr">
        <is>
          <t xml:space="preserve">3.407.2-181.09</t>
        </is>
      </c>
      <c r="F89" s="3" t="inlineStr">
        <is>
          <t xml:space="preserve">стальная многогранная стойка</t>
        </is>
      </c>
      <c r="G89" s="3" t="inlineStr">
        <is>
          <t xml:space="preserve">промежуточная</t>
        </is>
      </c>
      <c r="H89" s="3" t="n">
        <v>30</v>
      </c>
      <c r="I89" s="3" t="n">
        <v>9</v>
      </c>
      <c r="J89" s="3" t="n">
        <v>100</v>
      </c>
      <c r="K89" s="3" t="inlineStr">
        <is>
          <t xml:space="preserve">по аналогии со стойкой</t>
        </is>
      </c>
    </row>
    <row r="90">
      <c r="A90" s="3" t="inlineStr">
        <is>
          <t xml:space="preserve">10</t>
        </is>
      </c>
      <c r="B90" s="3" t="inlineStr">
        <is>
          <t xml:space="preserve">СМ10АУ</t>
        </is>
      </c>
      <c r="C90" s="3" t="inlineStr">
        <is>
          <t xml:space="preserve">Стальная многогранная</t>
        </is>
      </c>
      <c r="D90" s="3" t="inlineStr">
        <is>
          <t xml:space="preserve">Анкерно-угловая (до 60°)</t>
        </is>
      </c>
      <c r="E90" s="3" t="inlineStr">
        <is>
          <t xml:space="preserve">3.407.2-181.09</t>
        </is>
      </c>
      <c r="F90" s="3" t="inlineStr">
        <is>
          <t xml:space="preserve">стальная многогранная стойка</t>
        </is>
      </c>
      <c r="G90" s="3" t="inlineStr">
        <is>
          <t xml:space="preserve">угловая анкерная</t>
        </is>
      </c>
      <c r="H90" s="3" t="n">
        <v>70</v>
      </c>
      <c r="I90" s="3" t="n">
        <v>9</v>
      </c>
      <c r="J90" s="3" t="n">
        <v>100</v>
      </c>
      <c r="K90" s="3" t="inlineStr">
        <is>
          <t xml:space="preserve">по аналогии со стойкой</t>
        </is>
      </c>
    </row>
    <row r="91">
      <c r="A91" s="3" t="inlineStr">
        <is>
          <t xml:space="preserve">10</t>
        </is>
      </c>
      <c r="B91" s="3" t="inlineStr">
        <is>
          <t xml:space="preserve">СМ10АП</t>
        </is>
      </c>
      <c r="C91" s="3" t="inlineStr">
        <is>
          <t xml:space="preserve">Стальная многогранная</t>
        </is>
      </c>
      <c r="D91" s="3" t="inlineStr">
        <is>
          <t xml:space="preserve">Анкерная переходная (до 30°)</t>
        </is>
      </c>
      <c r="E91" s="3" t="inlineStr">
        <is>
          <t xml:space="preserve">3.407.2-181.09</t>
        </is>
      </c>
      <c r="F91" s="3" t="inlineStr">
        <is>
          <t xml:space="preserve">стальная многогранная стойка</t>
        </is>
      </c>
      <c r="G91" s="3" t="inlineStr">
        <is>
          <t xml:space="preserve">анкерная</t>
        </is>
      </c>
      <c r="H91" s="3" t="n">
        <v>90</v>
      </c>
      <c r="I91" s="3" t="n">
        <v>10</v>
      </c>
      <c r="J91" s="3" t="n">
        <v>120</v>
      </c>
      <c r="K91" s="3" t="inlineStr">
        <is>
          <t xml:space="preserve">по аналогии со стойкой</t>
        </is>
      </c>
    </row>
    <row r="92">
      <c r="A92" s="3" t="inlineStr">
        <is>
          <t xml:space="preserve">10</t>
        </is>
      </c>
      <c r="B92" s="3" t="inlineStr">
        <is>
          <t xml:space="preserve">Композитная промежуточная (одноцепная)</t>
        </is>
      </c>
      <c r="C92" s="3" t="inlineStr">
        <is>
          <t xml:space="preserve">Композитная</t>
        </is>
      </c>
      <c r="D92" s="3" t="inlineStr">
        <is>
          <t xml:space="preserve">Промежуточная</t>
        </is>
      </c>
      <c r="E92" s="3" t="inlineStr">
        <is>
          <t xml:space="preserve">СТО 34.01-2.2-031-2017 т. 2.5</t>
        </is>
      </c>
      <c r="F92" s="3" t="inlineStr">
        <is>
          <t xml:space="preserve">композитная стойка</t>
        </is>
      </c>
      <c r="G92" s="3" t="inlineStr">
        <is>
          <t xml:space="preserve">промежуточная</t>
        </is>
      </c>
      <c r="H92" s="3" t="n">
        <v>30</v>
      </c>
      <c r="I92" s="3" t="n">
        <v>9</v>
      </c>
      <c r="J92" s="3" t="n">
        <v>70</v>
      </c>
      <c r="K92" s="3" t="inlineStr">
        <is>
          <t xml:space="preserve">по аналогии со стойкой</t>
        </is>
      </c>
    </row>
    <row r="93">
      <c r="A93" s="3" t="inlineStr">
        <is>
          <t xml:space="preserve">10</t>
        </is>
      </c>
      <c r="B93" s="3" t="inlineStr">
        <is>
          <t xml:space="preserve">Композитная угловая анкерная (одноцепная)</t>
        </is>
      </c>
      <c r="C93" s="3" t="inlineStr">
        <is>
          <t xml:space="preserve">Композитная</t>
        </is>
      </c>
      <c r="D93" s="3" t="inlineStr">
        <is>
          <t xml:space="preserve">Анкерная угловая</t>
        </is>
      </c>
      <c r="E93" s="3" t="inlineStr">
        <is>
          <t xml:space="preserve">СТО 34.01-2.2-031-2017 т. 2.5</t>
        </is>
      </c>
      <c r="F93" s="3" t="inlineStr">
        <is>
          <t xml:space="preserve">композитная стойка</t>
        </is>
      </c>
      <c r="G93" s="3" t="inlineStr">
        <is>
          <t xml:space="preserve">угловая анкерная</t>
        </is>
      </c>
      <c r="H93" s="3" t="n">
        <v>30</v>
      </c>
      <c r="I93" s="3" t="n">
        <v>9</v>
      </c>
      <c r="J93" s="3" t="n">
        <v>70</v>
      </c>
      <c r="K93" s="3" t="inlineStr">
        <is>
          <t xml:space="preserve">по аналогии со стойкой</t>
        </is>
      </c>
    </row>
    <row r="94">
      <c r="A94" s="3" t="inlineStr">
        <is>
          <t xml:space="preserve">10</t>
        </is>
      </c>
      <c r="B94" s="3" t="inlineStr">
        <is>
          <t xml:space="preserve">Композитная промежуточная (двухцепная)</t>
        </is>
      </c>
      <c r="C94" s="3" t="inlineStr">
        <is>
          <t xml:space="preserve">Композитная</t>
        </is>
      </c>
      <c r="D94" s="3" t="inlineStr">
        <is>
          <t xml:space="preserve">Промежуточная двухцепная</t>
        </is>
      </c>
      <c r="E94" s="3" t="inlineStr">
        <is>
          <t xml:space="preserve">СТО 34.01-2.2-031-2017 т. 2.5</t>
        </is>
      </c>
      <c r="F94" s="3" t="inlineStr">
        <is>
          <t xml:space="preserve">композитная стойка</t>
        </is>
      </c>
      <c r="G94" s="3" t="inlineStr">
        <is>
          <t xml:space="preserve">промежуточная</t>
        </is>
      </c>
      <c r="H94" s="3" t="n">
        <v>30</v>
      </c>
      <c r="I94" s="3" t="n">
        <v>9</v>
      </c>
      <c r="J94" s="3" t="n">
        <v>70</v>
      </c>
      <c r="K94" s="3" t="inlineStr">
        <is>
          <t xml:space="preserve">по аналогии со стойкой</t>
        </is>
      </c>
    </row>
    <row r="95">
      <c r="A95" s="3" t="inlineStr">
        <is>
          <t xml:space="preserve">10</t>
        </is>
      </c>
      <c r="B95" s="3" t="inlineStr">
        <is>
          <t xml:space="preserve">Композитная угловая анкерная (двухцепная)</t>
        </is>
      </c>
      <c r="C95" s="3" t="inlineStr">
        <is>
          <t xml:space="preserve">Композитная</t>
        </is>
      </c>
      <c r="D95" s="3" t="inlineStr">
        <is>
          <t xml:space="preserve">Анкерная угловая двухцепная</t>
        </is>
      </c>
      <c r="E95" s="3" t="inlineStr">
        <is>
          <t xml:space="preserve">СТО 34.01-2.2-031-2017 т. 2.5</t>
        </is>
      </c>
      <c r="F95" s="3" t="inlineStr">
        <is>
          <t xml:space="preserve">композитная стойка</t>
        </is>
      </c>
      <c r="G95" s="3" t="inlineStr">
        <is>
          <t xml:space="preserve">угловая анкерная</t>
        </is>
      </c>
      <c r="H95" s="3" t="n">
        <v>30</v>
      </c>
      <c r="I95" s="3" t="n">
        <v>9</v>
      </c>
      <c r="J95" s="3" t="n">
        <v>70</v>
      </c>
      <c r="K95" s="3" t="inlineStr">
        <is>
          <t xml:space="preserve">по аналогии со стойкой</t>
        </is>
      </c>
    </row>
    <row r="96">
      <c r="A96" s="3" t="inlineStr">
        <is>
          <t xml:space="preserve">10</t>
        </is>
      </c>
      <c r="B96" s="3" t="inlineStr">
        <is>
          <t xml:space="preserve">ПР1</t>
        </is>
      </c>
      <c r="C96" s="3" t="inlineStr">
        <is>
          <t xml:space="preserve">Железобетонная</t>
        </is>
      </c>
      <c r="D96" s="3" t="inlineStr">
        <is>
          <t xml:space="preserve">Промежуточная (с разъединителем)</t>
        </is>
      </c>
      <c r="E96" s="3" t="inlineStr">
        <is>
          <t xml:space="preserve">27.0002 / ЛЭП98.08</t>
        </is>
      </c>
      <c r="F96" s="3" t="inlineStr">
        <is>
          <t xml:space="preserve">СВ110-3,5</t>
        </is>
      </c>
      <c r="G96" s="3" t="inlineStr">
        <is>
          <t xml:space="preserve">промежуточная</t>
        </is>
      </c>
      <c r="H96" s="3" t="n">
        <v>35</v>
      </c>
      <c r="I96" s="3" t="n">
        <v>8.5</v>
      </c>
      <c r="J96" s="3" t="n">
        <v>70</v>
      </c>
      <c r="K96" s="3" t="inlineStr">
        <is>
          <t xml:space="preserve">типовой проект</t>
        </is>
      </c>
    </row>
    <row r="97">
      <c r="A97" s="3" t="inlineStr">
        <is>
          <t xml:space="preserve">10</t>
        </is>
      </c>
      <c r="B97" s="3" t="inlineStr">
        <is>
          <t xml:space="preserve">КР1</t>
        </is>
      </c>
      <c r="C97" s="3" t="inlineStr">
        <is>
          <t xml:space="preserve">Железобетонная</t>
        </is>
      </c>
      <c r="D97" s="3" t="inlineStr">
        <is>
          <t xml:space="preserve">Концевая (с разъединителем)</t>
        </is>
      </c>
      <c r="E97" s="3" t="inlineStr">
        <is>
          <t xml:space="preserve">27.0002 / ЛЭП98.08</t>
        </is>
      </c>
      <c r="F97" s="3" t="inlineStr">
        <is>
          <t xml:space="preserve">СВ110-3,5</t>
        </is>
      </c>
      <c r="G97" s="3" t="inlineStr">
        <is>
          <t xml:space="preserve">концевая</t>
        </is>
      </c>
      <c r="H97" s="3" t="n">
        <v>35</v>
      </c>
      <c r="I97" s="3" t="n">
        <v>8.5</v>
      </c>
      <c r="J97" s="3" t="n">
        <v>70</v>
      </c>
      <c r="K97" s="3" t="inlineStr">
        <is>
          <t xml:space="preserve">типовой проект</t>
        </is>
      </c>
    </row>
    <row r="98">
      <c r="A98" s="3" t="inlineStr">
        <is>
          <t xml:space="preserve">10</t>
        </is>
      </c>
      <c r="B98" s="3" t="inlineStr">
        <is>
          <t xml:space="preserve">АР1</t>
        </is>
      </c>
      <c r="C98" s="3" t="inlineStr">
        <is>
          <t xml:space="preserve">Железобетонная</t>
        </is>
      </c>
      <c r="D98" s="3" t="inlineStr">
        <is>
          <t xml:space="preserve">Анкерная (с разъединителем)</t>
        </is>
      </c>
      <c r="E98" s="3" t="inlineStr">
        <is>
          <t xml:space="preserve">27.0002 / ЛЭП98.08</t>
        </is>
      </c>
      <c r="F98" s="3" t="inlineStr">
        <is>
          <t xml:space="preserve">СВ110-3,5</t>
        </is>
      </c>
      <c r="G98" s="3" t="inlineStr">
        <is>
          <t xml:space="preserve">анкерная</t>
        </is>
      </c>
      <c r="H98" s="3" t="n">
        <v>35</v>
      </c>
      <c r="I98" s="3" t="n">
        <v>8.5</v>
      </c>
      <c r="J98" s="3" t="n">
        <v>70</v>
      </c>
      <c r="K98" s="3" t="inlineStr">
        <is>
          <t xml:space="preserve">типовой проект</t>
        </is>
      </c>
    </row>
    <row r="99">
      <c r="A99" s="3" t="inlineStr">
        <is>
          <t xml:space="preserve">10/0,4</t>
        </is>
      </c>
      <c r="B99" s="3" t="inlineStr">
        <is>
          <t xml:space="preserve">П10/0,38</t>
        </is>
      </c>
      <c r="C99" s="3" t="inlineStr">
        <is>
          <t xml:space="preserve">Железобетонная</t>
        </is>
      </c>
      <c r="D99" s="3" t="inlineStr">
        <is>
          <t xml:space="preserve">Промежуточная (совместная)</t>
        </is>
      </c>
      <c r="E99" s="3" t="inlineStr">
        <is>
          <t xml:space="preserve">25.0017 / ЛЭП98.10</t>
        </is>
      </c>
      <c r="F99" s="3" t="inlineStr">
        <is>
          <t xml:space="preserve">СВ110-3,5</t>
        </is>
      </c>
      <c r="G99" s="3" t="inlineStr">
        <is>
          <t xml:space="preserve">промежуточная</t>
        </is>
      </c>
      <c r="H99" s="3" t="n">
        <v>35</v>
      </c>
      <c r="I99" s="3" t="n">
        <v>8.5</v>
      </c>
      <c r="J99" s="3" t="n">
        <v>40</v>
      </c>
      <c r="K99" s="3" t="inlineStr">
        <is>
          <t xml:space="preserve">типовой проект</t>
        </is>
      </c>
    </row>
    <row r="100">
      <c r="A100" s="3" t="inlineStr">
        <is>
          <t xml:space="preserve">10/0,4</t>
        </is>
      </c>
      <c r="B100" s="3" t="inlineStr">
        <is>
          <t xml:space="preserve">УА10/0,38</t>
        </is>
      </c>
      <c r="C100" s="3" t="inlineStr">
        <is>
          <t xml:space="preserve">Железобетонная</t>
        </is>
      </c>
      <c r="D100" s="3" t="inlineStr">
        <is>
          <t xml:space="preserve">Угловая анкерная (совместная)</t>
        </is>
      </c>
      <c r="E100" s="3" t="inlineStr">
        <is>
          <t xml:space="preserve">25.0017 / ЛЭП98.10</t>
        </is>
      </c>
      <c r="F100" s="3" t="inlineStr">
        <is>
          <t xml:space="preserve">СВ110-3,5</t>
        </is>
      </c>
      <c r="G100" s="3" t="inlineStr">
        <is>
          <t xml:space="preserve">угловая анкерная</t>
        </is>
      </c>
      <c r="H100" s="3" t="n">
        <v>35</v>
      </c>
      <c r="I100" s="3" t="n">
        <v>8.5</v>
      </c>
      <c r="J100" s="3" t="n">
        <v>40</v>
      </c>
      <c r="K100" s="3" t="inlineStr">
        <is>
          <t xml:space="preserve">типовой проект</t>
        </is>
      </c>
    </row>
    <row r="101">
      <c r="A101" s="3" t="inlineStr">
        <is>
          <t xml:space="preserve">10/0,4</t>
        </is>
      </c>
      <c r="B101" s="3" t="inlineStr">
        <is>
          <t xml:space="preserve">ОА10/0,38</t>
        </is>
      </c>
      <c r="C101" s="3" t="inlineStr">
        <is>
          <t xml:space="preserve">Железобетонная</t>
        </is>
      </c>
      <c r="D101" s="3" t="inlineStr">
        <is>
          <t xml:space="preserve">Ответвительная (совместная)</t>
        </is>
      </c>
      <c r="E101" s="3" t="inlineStr">
        <is>
          <t xml:space="preserve">25.0017 / ЛЭП98.10</t>
        </is>
      </c>
      <c r="F101" s="3" t="inlineStr">
        <is>
          <t xml:space="preserve">СВ110-3,5</t>
        </is>
      </c>
      <c r="G101" s="3" t="inlineStr">
        <is>
          <t xml:space="preserve">ответвительная</t>
        </is>
      </c>
      <c r="H101" s="3" t="n">
        <v>35</v>
      </c>
      <c r="I101" s="3" t="n">
        <v>8.5</v>
      </c>
      <c r="J101" s="3" t="n">
        <v>40</v>
      </c>
      <c r="K101" s="3" t="inlineStr">
        <is>
          <t xml:space="preserve">типовой проект</t>
        </is>
      </c>
    </row>
    <row r="102">
      <c r="A102" s="3" t="inlineStr">
        <is>
          <t xml:space="preserve">10/0,4</t>
        </is>
      </c>
      <c r="B102" s="3" t="inlineStr">
        <is>
          <t xml:space="preserve">А10/0,38</t>
        </is>
      </c>
      <c r="C102" s="3" t="inlineStr">
        <is>
          <t xml:space="preserve">Железобетонная</t>
        </is>
      </c>
      <c r="D102" s="3" t="inlineStr">
        <is>
          <t xml:space="preserve">Анкерная (совместная)</t>
        </is>
      </c>
      <c r="E102" s="3" t="inlineStr">
        <is>
          <t xml:space="preserve">25.0017 / ЛЭП98.10</t>
        </is>
      </c>
      <c r="F102" s="3" t="inlineStr">
        <is>
          <t xml:space="preserve">СВ110-3,5</t>
        </is>
      </c>
      <c r="G102" s="3" t="inlineStr">
        <is>
          <t xml:space="preserve">концевая</t>
        </is>
      </c>
      <c r="H102" s="3" t="n">
        <v>35</v>
      </c>
      <c r="I102" s="3" t="n">
        <v>8.5</v>
      </c>
      <c r="J102" s="3" t="n">
        <v>40</v>
      </c>
      <c r="K102" s="3" t="inlineStr">
        <is>
          <t xml:space="preserve">типовой проект</t>
        </is>
      </c>
    </row>
    <row r="103">
      <c r="A103" s="3" t="inlineStr">
        <is>
          <t xml:space="preserve">35</t>
        </is>
      </c>
      <c r="B103" s="3" t="inlineStr">
        <is>
          <t xml:space="preserve">П35-1</t>
        </is>
      </c>
      <c r="C103" s="3" t="inlineStr">
        <is>
          <t xml:space="preserve">Стальная</t>
        </is>
      </c>
      <c r="D103" s="3" t="inlineStr">
        <is>
          <t xml:space="preserve">Промежуточная одноцепная</t>
        </is>
      </c>
      <c r="E103" s="3" t="inlineStr">
        <is>
          <t xml:space="preserve">3078тм-т7</t>
        </is>
      </c>
      <c r="F103" s="3" t="inlineStr">
        <is>
          <t xml:space="preserve">— (стальная конструкция)</t>
        </is>
      </c>
      <c r="G103" s="3" t="inlineStr">
        <is>
          <t xml:space="preserve">промежуточная</t>
        </is>
      </c>
      <c r="H103" s="3" t="n">
        <v>90</v>
      </c>
      <c r="I103" s="3" t="n">
        <v>12</v>
      </c>
      <c r="J103" s="3" t="n">
        <v>200</v>
      </c>
      <c r="K103" s="3" t="inlineStr">
        <is>
          <t xml:space="preserve">типовой проект</t>
        </is>
      </c>
    </row>
    <row r="104">
      <c r="A104" s="3" t="inlineStr">
        <is>
          <t xml:space="preserve">35</t>
        </is>
      </c>
      <c r="B104" s="3" t="inlineStr">
        <is>
          <t xml:space="preserve">П35-1Т</t>
        </is>
      </c>
      <c r="C104" s="3" t="inlineStr">
        <is>
          <t xml:space="preserve">Стальная</t>
        </is>
      </c>
      <c r="D104" s="3" t="inlineStr">
        <is>
          <t xml:space="preserve">Промежуточная одноцепная (с тросостойкой)</t>
        </is>
      </c>
      <c r="E104" s="3" t="inlineStr">
        <is>
          <t xml:space="preserve">3078тм-т7</t>
        </is>
      </c>
      <c r="F104" s="3" t="inlineStr">
        <is>
          <t xml:space="preserve">— (стальная конструкция)</t>
        </is>
      </c>
      <c r="G104" s="3" t="inlineStr">
        <is>
          <t xml:space="preserve">промежуточная</t>
        </is>
      </c>
      <c r="H104" s="3" t="n">
        <v>95</v>
      </c>
      <c r="I104" s="3" t="n">
        <v>12</v>
      </c>
      <c r="J104" s="3" t="n">
        <v>200</v>
      </c>
      <c r="K104" s="3" t="inlineStr">
        <is>
          <t xml:space="preserve">типовой проект</t>
        </is>
      </c>
    </row>
    <row r="105">
      <c r="A105" s="3" t="inlineStr">
        <is>
          <t xml:space="preserve">35</t>
        </is>
      </c>
      <c r="B105" s="3" t="inlineStr">
        <is>
          <t xml:space="preserve">П35-1У</t>
        </is>
      </c>
      <c r="C105" s="3" t="inlineStr">
        <is>
          <t xml:space="preserve">Стальная</t>
        </is>
      </c>
      <c r="D105" s="3" t="inlineStr">
        <is>
          <t xml:space="preserve">Промежуточная одноцепная угловая</t>
        </is>
      </c>
      <c r="E105" s="3" t="inlineStr">
        <is>
          <t xml:space="preserve">3078тм-т7</t>
        </is>
      </c>
      <c r="F105" s="3" t="inlineStr">
        <is>
          <t xml:space="preserve">— (стальная конструкция)</t>
        </is>
      </c>
      <c r="G105" s="3" t="inlineStr">
        <is>
          <t xml:space="preserve">угловая</t>
        </is>
      </c>
      <c r="H105" s="3" t="n">
        <v>100</v>
      </c>
      <c r="I105" s="3" t="n">
        <v>12</v>
      </c>
      <c r="J105" s="3" t="n">
        <v>200</v>
      </c>
      <c r="K105" s="3" t="inlineStr">
        <is>
          <t xml:space="preserve">типовой проект</t>
        </is>
      </c>
    </row>
    <row r="106">
      <c r="A106" s="3" t="inlineStr">
        <is>
          <t xml:space="preserve">35</t>
        </is>
      </c>
      <c r="B106" s="3" t="inlineStr">
        <is>
          <t xml:space="preserve">П35-2</t>
        </is>
      </c>
      <c r="C106" s="3" t="inlineStr">
        <is>
          <t xml:space="preserve">Стальная</t>
        </is>
      </c>
      <c r="D106" s="3" t="inlineStr">
        <is>
          <t xml:space="preserve">Промежуточная двухцепная</t>
        </is>
      </c>
      <c r="E106" s="3" t="inlineStr">
        <is>
          <t xml:space="preserve">3.407.2-170</t>
        </is>
      </c>
      <c r="F106" s="3" t="inlineStr">
        <is>
          <t xml:space="preserve">— (стальная конструкция)</t>
        </is>
      </c>
      <c r="G106" s="3" t="inlineStr">
        <is>
          <t xml:space="preserve">промежуточная</t>
        </is>
      </c>
      <c r="H106" s="3" t="n">
        <v>120</v>
      </c>
      <c r="I106" s="3" t="n">
        <v>14</v>
      </c>
      <c r="J106" s="3" t="n">
        <v>200</v>
      </c>
      <c r="K106" s="3" t="inlineStr">
        <is>
          <t xml:space="preserve">типовой проект</t>
        </is>
      </c>
    </row>
    <row r="107">
      <c r="A107" s="3" t="inlineStr">
        <is>
          <t xml:space="preserve">35</t>
        </is>
      </c>
      <c r="B107" s="3" t="inlineStr">
        <is>
          <t xml:space="preserve">П35-2Т</t>
        </is>
      </c>
      <c r="C107" s="3" t="inlineStr">
        <is>
          <t xml:space="preserve">Стальная</t>
        </is>
      </c>
      <c r="D107" s="3" t="inlineStr">
        <is>
          <t xml:space="preserve">Промежуточная двухцепная (с тросостойкой)</t>
        </is>
      </c>
      <c r="E107" s="3" t="inlineStr">
        <is>
          <t xml:space="preserve">3.407.2-170</t>
        </is>
      </c>
      <c r="F107" s="3" t="inlineStr">
        <is>
          <t xml:space="preserve">— (стальная конструкция)</t>
        </is>
      </c>
      <c r="G107" s="3" t="inlineStr">
        <is>
          <t xml:space="preserve">промежуточная</t>
        </is>
      </c>
      <c r="H107" s="3" t="n">
        <v>125</v>
      </c>
      <c r="I107" s="3" t="n">
        <v>14</v>
      </c>
      <c r="J107" s="3" t="n">
        <v>200</v>
      </c>
      <c r="K107" s="3" t="inlineStr">
        <is>
          <t xml:space="preserve">типовой проект</t>
        </is>
      </c>
    </row>
    <row r="108">
      <c r="A108" s="3" t="inlineStr">
        <is>
          <t xml:space="preserve">35</t>
        </is>
      </c>
      <c r="B108" s="3" t="inlineStr">
        <is>
          <t xml:space="preserve">ПС35-2</t>
        </is>
      </c>
      <c r="C108" s="3" t="inlineStr">
        <is>
          <t xml:space="preserve">Стальная</t>
        </is>
      </c>
      <c r="D108" s="3" t="inlineStr">
        <is>
          <t xml:space="preserve">Промежуточная специальная двухцепная</t>
        </is>
      </c>
      <c r="E108" s="3" t="inlineStr">
        <is>
          <t xml:space="preserve">3078тм-т7</t>
        </is>
      </c>
      <c r="F108" s="3" t="inlineStr">
        <is>
          <t xml:space="preserve">— (стальная конструкция)</t>
        </is>
      </c>
      <c r="G108" s="3" t="inlineStr">
        <is>
          <t xml:space="preserve">промежуточная</t>
        </is>
      </c>
      <c r="H108" s="3" t="n">
        <v>130</v>
      </c>
      <c r="I108" s="3" t="n">
        <v>14</v>
      </c>
      <c r="J108" s="3" t="n">
        <v>250</v>
      </c>
      <c r="K108" s="3" t="inlineStr">
        <is>
          <t xml:space="preserve">типовой проект</t>
        </is>
      </c>
    </row>
    <row r="109">
      <c r="A109" s="3" t="inlineStr">
        <is>
          <t xml:space="preserve">35</t>
        </is>
      </c>
      <c r="B109" s="3" t="inlineStr">
        <is>
          <t xml:space="preserve">ПС35-4</t>
        </is>
      </c>
      <c r="C109" s="3" t="inlineStr">
        <is>
          <t xml:space="preserve">Стальная</t>
        </is>
      </c>
      <c r="D109" s="3" t="inlineStr">
        <is>
          <t xml:space="preserve">Промежуточная специальная двухцепная</t>
        </is>
      </c>
      <c r="E109" s="3" t="inlineStr">
        <is>
          <t xml:space="preserve">3079тм-т6</t>
        </is>
      </c>
      <c r="F109" s="3" t="inlineStr">
        <is>
          <t xml:space="preserve">— (стальная конструкция)</t>
        </is>
      </c>
      <c r="G109" s="3" t="inlineStr">
        <is>
          <t xml:space="preserve">промежуточная</t>
        </is>
      </c>
      <c r="H109" s="3" t="n">
        <v>140</v>
      </c>
      <c r="I109" s="3" t="n">
        <v>15</v>
      </c>
      <c r="J109" s="3" t="n">
        <v>250</v>
      </c>
      <c r="K109" s="3" t="inlineStr">
        <is>
          <t xml:space="preserve">типовой проект</t>
        </is>
      </c>
    </row>
    <row r="110">
      <c r="A110" s="3" t="inlineStr">
        <is>
          <t xml:space="preserve">35</t>
        </is>
      </c>
      <c r="B110" s="3" t="inlineStr">
        <is>
          <t xml:space="preserve">У35-1</t>
        </is>
      </c>
      <c r="C110" s="3" t="inlineStr">
        <is>
          <t xml:space="preserve">Стальная</t>
        </is>
      </c>
      <c r="D110" s="3" t="inlineStr">
        <is>
          <t xml:space="preserve">Анкерно-угловая одноцепная</t>
        </is>
      </c>
      <c r="E110" s="3" t="inlineStr">
        <is>
          <t xml:space="preserve">3078тм-т10</t>
        </is>
      </c>
      <c r="F110" s="3" t="inlineStr">
        <is>
          <t xml:space="preserve">— (стальная конструкция)</t>
        </is>
      </c>
      <c r="G110" s="3" t="inlineStr">
        <is>
          <t xml:space="preserve">угловая анкерная</t>
        </is>
      </c>
      <c r="H110" s="3" t="n">
        <v>160</v>
      </c>
      <c r="I110" s="3" t="n">
        <v>12</v>
      </c>
      <c r="J110" s="3" t="n">
        <v>200</v>
      </c>
      <c r="K110" s="3" t="inlineStr">
        <is>
          <t xml:space="preserve">типовой проект</t>
        </is>
      </c>
    </row>
    <row r="111">
      <c r="A111" s="3" t="inlineStr">
        <is>
          <t xml:space="preserve">35</t>
        </is>
      </c>
      <c r="B111" s="3" t="inlineStr">
        <is>
          <t xml:space="preserve">У35-2</t>
        </is>
      </c>
      <c r="C111" s="3" t="inlineStr">
        <is>
          <t xml:space="preserve">Стальная</t>
        </is>
      </c>
      <c r="D111" s="3" t="inlineStr">
        <is>
          <t xml:space="preserve">Анкерно-угловая двухцепная</t>
        </is>
      </c>
      <c r="E111" s="3" t="inlineStr">
        <is>
          <t xml:space="preserve">3078тм-т10</t>
        </is>
      </c>
      <c r="F111" s="3" t="inlineStr">
        <is>
          <t xml:space="preserve">— (стальная конструкция)</t>
        </is>
      </c>
      <c r="G111" s="3" t="inlineStr">
        <is>
          <t xml:space="preserve">угловая анкерная</t>
        </is>
      </c>
      <c r="H111" s="3" t="n">
        <v>200</v>
      </c>
      <c r="I111" s="3" t="n">
        <v>14</v>
      </c>
      <c r="J111" s="3" t="n">
        <v>200</v>
      </c>
      <c r="K111" s="3" t="inlineStr">
        <is>
          <t xml:space="preserve">типовой проект</t>
        </is>
      </c>
    </row>
    <row r="112">
      <c r="A112" s="3" t="inlineStr">
        <is>
          <t xml:space="preserve">35</t>
        </is>
      </c>
      <c r="B112" s="3" t="inlineStr">
        <is>
          <t xml:space="preserve">ПБ35-1</t>
        </is>
      </c>
      <c r="C112" s="3" t="inlineStr">
        <is>
          <t xml:space="preserve">Железобетонная</t>
        </is>
      </c>
      <c r="D112" s="3" t="inlineStr">
        <is>
          <t xml:space="preserve">Промежуточная (на стойке СК)</t>
        </is>
      </c>
      <c r="E112" s="3" t="inlineStr">
        <is>
          <t xml:space="preserve">3.407.1-163</t>
        </is>
      </c>
      <c r="F112" s="3" t="inlineStr">
        <is>
          <t xml:space="preserve">СК22</t>
        </is>
      </c>
      <c r="G112" s="3" t="inlineStr">
        <is>
          <t xml:space="preserve">промежуточная</t>
        </is>
      </c>
      <c r="H112" s="3" t="n">
        <v>110</v>
      </c>
      <c r="I112" s="3" t="n">
        <v>12</v>
      </c>
      <c r="J112" s="3" t="n">
        <v>200</v>
      </c>
      <c r="K112" s="3" t="inlineStr">
        <is>
          <t xml:space="preserve">типовой проект</t>
        </is>
      </c>
    </row>
    <row r="113">
      <c r="A113" s="3" t="inlineStr">
        <is>
          <t xml:space="preserve">35</t>
        </is>
      </c>
      <c r="B113" s="3" t="inlineStr">
        <is>
          <t xml:space="preserve">УБ35-1</t>
        </is>
      </c>
      <c r="C113" s="3" t="inlineStr">
        <is>
          <t xml:space="preserve">Железобетонная</t>
        </is>
      </c>
      <c r="D113" s="3" t="inlineStr">
        <is>
          <t xml:space="preserve">Анкерно-угловая</t>
        </is>
      </c>
      <c r="E113" s="3" t="inlineStr">
        <is>
          <t xml:space="preserve">3.407.1-151</t>
        </is>
      </c>
      <c r="F113" s="3" t="inlineStr">
        <is>
          <t xml:space="preserve">СК22</t>
        </is>
      </c>
      <c r="G113" s="3" t="inlineStr">
        <is>
          <t xml:space="preserve">угловая анкерная</t>
        </is>
      </c>
      <c r="H113" s="3" t="n">
        <v>110</v>
      </c>
      <c r="I113" s="3" t="n">
        <v>12</v>
      </c>
      <c r="J113" s="3" t="n">
        <v>200</v>
      </c>
      <c r="K113" s="3" t="inlineStr">
        <is>
          <t xml:space="preserve">типовой проект</t>
        </is>
      </c>
    </row>
    <row r="114">
      <c r="A114" s="3" t="inlineStr">
        <is>
          <t xml:space="preserve">35</t>
        </is>
      </c>
      <c r="B114" s="3" t="inlineStr">
        <is>
          <t xml:space="preserve">ПБ35-11</t>
        </is>
      </c>
      <c r="C114" s="3" t="inlineStr">
        <is>
          <t xml:space="preserve">Железобетонная</t>
        </is>
      </c>
      <c r="D114" s="3" t="inlineStr">
        <is>
          <t xml:space="preserve">Промежуточная (полимерные изоляторы)</t>
        </is>
      </c>
      <c r="E114" s="3" t="inlineStr">
        <is>
          <t xml:space="preserve">ЛЭП98.16</t>
        </is>
      </c>
      <c r="F114" s="3" t="inlineStr">
        <is>
          <t xml:space="preserve">СВ110-5</t>
        </is>
      </c>
      <c r="G114" s="3" t="inlineStr">
        <is>
          <t xml:space="preserve">промежуточная</t>
        </is>
      </c>
      <c r="H114" s="3" t="n">
        <v>40</v>
      </c>
      <c r="I114" s="3" t="n">
        <v>9</v>
      </c>
      <c r="J114" s="3" t="n">
        <v>130</v>
      </c>
      <c r="K114" s="3" t="inlineStr">
        <is>
          <t xml:space="preserve">по аналогии со стойкой</t>
        </is>
      </c>
    </row>
    <row r="115">
      <c r="A115" s="3" t="inlineStr">
        <is>
          <t xml:space="preserve">35</t>
        </is>
      </c>
      <c r="B115" s="3" t="inlineStr">
        <is>
          <t xml:space="preserve">УПБ35-11</t>
        </is>
      </c>
      <c r="C115" s="3" t="inlineStr">
        <is>
          <t xml:space="preserve">Железобетонная</t>
        </is>
      </c>
      <c r="D115" s="3" t="inlineStr">
        <is>
          <t xml:space="preserve">Промежуточно-угловая (полимерные изоляторы)</t>
        </is>
      </c>
      <c r="E115" s="3" t="inlineStr">
        <is>
          <t xml:space="preserve">ЛЭП98.16</t>
        </is>
      </c>
      <c r="F115" s="3" t="inlineStr">
        <is>
          <t xml:space="preserve">СВ110-5</t>
        </is>
      </c>
      <c r="G115" s="3" t="inlineStr">
        <is>
          <t xml:space="preserve">угловая</t>
        </is>
      </c>
      <c r="H115" s="3" t="n">
        <v>40</v>
      </c>
      <c r="I115" s="3" t="n">
        <v>9</v>
      </c>
      <c r="J115" s="3" t="n">
        <v>130</v>
      </c>
      <c r="K115" s="3" t="inlineStr">
        <is>
          <t xml:space="preserve">по аналогии со стойкой</t>
        </is>
      </c>
    </row>
    <row r="116">
      <c r="A116" s="3" t="inlineStr">
        <is>
          <t xml:space="preserve">35</t>
        </is>
      </c>
      <c r="B116" s="3" t="inlineStr">
        <is>
          <t xml:space="preserve">АБ35-11</t>
        </is>
      </c>
      <c r="C116" s="3" t="inlineStr">
        <is>
          <t xml:space="preserve">Железобетонная</t>
        </is>
      </c>
      <c r="D116" s="3" t="inlineStr">
        <is>
          <t xml:space="preserve">Анкерная (концевая), подкосная</t>
        </is>
      </c>
      <c r="E116" s="3" t="inlineStr">
        <is>
          <t xml:space="preserve">ЛЭП98.16</t>
        </is>
      </c>
      <c r="F116" s="3" t="inlineStr">
        <is>
          <t xml:space="preserve">СВ110-5</t>
        </is>
      </c>
      <c r="G116" s="3" t="inlineStr">
        <is>
          <t xml:space="preserve">концевая</t>
        </is>
      </c>
      <c r="H116" s="3" t="n">
        <v>40</v>
      </c>
      <c r="I116" s="3" t="n">
        <v>9</v>
      </c>
      <c r="J116" s="3" t="n">
        <v>130</v>
      </c>
      <c r="K116" s="3" t="inlineStr">
        <is>
          <t xml:space="preserve">по аналогии со стойкой</t>
        </is>
      </c>
    </row>
    <row r="117">
      <c r="A117" s="3" t="inlineStr">
        <is>
          <t xml:space="preserve">35</t>
        </is>
      </c>
      <c r="B117" s="3" t="inlineStr">
        <is>
          <t xml:space="preserve">УАБ35-11</t>
        </is>
      </c>
      <c r="C117" s="3" t="inlineStr">
        <is>
          <t xml:space="preserve">Железобетонная</t>
        </is>
      </c>
      <c r="D117" s="3" t="inlineStr">
        <is>
          <t xml:space="preserve">Анкерная угловая</t>
        </is>
      </c>
      <c r="E117" s="3" t="inlineStr">
        <is>
          <t xml:space="preserve">ЛЭП98.16</t>
        </is>
      </c>
      <c r="F117" s="3" t="inlineStr">
        <is>
          <t xml:space="preserve">СВ110-5</t>
        </is>
      </c>
      <c r="G117" s="3" t="inlineStr">
        <is>
          <t xml:space="preserve">угловая анкерная</t>
        </is>
      </c>
      <c r="H117" s="3" t="n">
        <v>40</v>
      </c>
      <c r="I117" s="3" t="n">
        <v>9</v>
      </c>
      <c r="J117" s="3" t="n">
        <v>130</v>
      </c>
      <c r="K117" s="3" t="inlineStr">
        <is>
          <t xml:space="preserve">по аналогии со стойкой</t>
        </is>
      </c>
    </row>
    <row r="118">
      <c r="A118" s="3" t="inlineStr">
        <is>
          <t xml:space="preserve">35</t>
        </is>
      </c>
      <c r="B118" s="3" t="inlineStr">
        <is>
          <t xml:space="preserve">ОАБ35-11</t>
        </is>
      </c>
      <c r="C118" s="3" t="inlineStr">
        <is>
          <t xml:space="preserve">Железобетонная</t>
        </is>
      </c>
      <c r="D118" s="3" t="inlineStr">
        <is>
          <t xml:space="preserve">Ответвительная анкерная</t>
        </is>
      </c>
      <c r="E118" s="3" t="inlineStr">
        <is>
          <t xml:space="preserve">ЛЭП98.16</t>
        </is>
      </c>
      <c r="F118" s="3" t="inlineStr">
        <is>
          <t xml:space="preserve">СВ110-5</t>
        </is>
      </c>
      <c r="G118" s="3" t="inlineStr">
        <is>
          <t xml:space="preserve">ответвительная</t>
        </is>
      </c>
      <c r="H118" s="3" t="n">
        <v>40</v>
      </c>
      <c r="I118" s="3" t="n">
        <v>9</v>
      </c>
      <c r="J118" s="3" t="n">
        <v>130</v>
      </c>
      <c r="K118" s="3" t="inlineStr">
        <is>
          <t xml:space="preserve">по аналогии со стойкой</t>
        </is>
      </c>
    </row>
    <row r="119">
      <c r="A119" s="3" t="inlineStr">
        <is>
          <t xml:space="preserve">35</t>
        </is>
      </c>
      <c r="B119" s="3" t="inlineStr">
        <is>
          <t xml:space="preserve">ПБ35-1.1</t>
        </is>
      </c>
      <c r="C119" s="3" t="inlineStr">
        <is>
          <t xml:space="preserve">Железобетонная</t>
        </is>
      </c>
      <c r="D119" s="3" t="inlineStr">
        <is>
          <t xml:space="preserve">Промежуточная одноцепная</t>
        </is>
      </c>
      <c r="E119" s="3" t="inlineStr">
        <is>
          <t xml:space="preserve">3.407.1-164</t>
        </is>
      </c>
      <c r="F119" s="3" t="inlineStr">
        <is>
          <t xml:space="preserve">СК32.2-1</t>
        </is>
      </c>
      <c r="G119" s="3" t="inlineStr">
        <is>
          <t xml:space="preserve">промежуточная</t>
        </is>
      </c>
      <c r="H119" s="3" t="n">
        <v>200</v>
      </c>
      <c r="I119" s="3" t="n">
        <v>14</v>
      </c>
      <c r="J119" s="3" t="n">
        <v>200</v>
      </c>
      <c r="K119" s="3" t="inlineStr">
        <is>
          <t xml:space="preserve">по аналогии со стойкой</t>
        </is>
      </c>
    </row>
    <row r="120">
      <c r="A120" s="3" t="inlineStr">
        <is>
          <t xml:space="preserve">35</t>
        </is>
      </c>
      <c r="B120" s="3" t="inlineStr">
        <is>
          <t xml:space="preserve">ПБ35-1.1Т</t>
        </is>
      </c>
      <c r="C120" s="3" t="inlineStr">
        <is>
          <t xml:space="preserve">Железобетонная</t>
        </is>
      </c>
      <c r="D120" s="3" t="inlineStr">
        <is>
          <t xml:space="preserve">Промежуточная одноцепная (с тросостойкой)</t>
        </is>
      </c>
      <c r="E120" s="3" t="inlineStr">
        <is>
          <t xml:space="preserve">3.407.1-164</t>
        </is>
      </c>
      <c r="F120" s="3" t="inlineStr">
        <is>
          <t xml:space="preserve">СК32.2-1</t>
        </is>
      </c>
      <c r="G120" s="3" t="inlineStr">
        <is>
          <t xml:space="preserve">промежуточная</t>
        </is>
      </c>
      <c r="H120" s="3" t="n">
        <v>200</v>
      </c>
      <c r="I120" s="3" t="n">
        <v>14</v>
      </c>
      <c r="J120" s="3" t="n">
        <v>200</v>
      </c>
      <c r="K120" s="3" t="inlineStr">
        <is>
          <t xml:space="preserve">по аналогии со стойкой</t>
        </is>
      </c>
    </row>
    <row r="121">
      <c r="A121" s="3" t="inlineStr">
        <is>
          <t xml:space="preserve">35</t>
        </is>
      </c>
      <c r="B121" s="3" t="inlineStr">
        <is>
          <t xml:space="preserve">ПБ35-2.1</t>
        </is>
      </c>
      <c r="C121" s="3" t="inlineStr">
        <is>
          <t xml:space="preserve">Железобетонная</t>
        </is>
      </c>
      <c r="D121" s="3" t="inlineStr">
        <is>
          <t xml:space="preserve">Промежуточная</t>
        </is>
      </c>
      <c r="E121" s="3" t="inlineStr">
        <is>
          <t xml:space="preserve">3.407.1-164</t>
        </is>
      </c>
      <c r="F121" s="3" t="inlineStr">
        <is>
          <t xml:space="preserve">СК32.2-1</t>
        </is>
      </c>
      <c r="G121" s="3" t="inlineStr">
        <is>
          <t xml:space="preserve">промежуточная</t>
        </is>
      </c>
      <c r="H121" s="3" t="n">
        <v>200</v>
      </c>
      <c r="I121" s="3" t="n">
        <v>14</v>
      </c>
      <c r="J121" s="3" t="n">
        <v>200</v>
      </c>
      <c r="K121" s="3" t="inlineStr">
        <is>
          <t xml:space="preserve">по аналогии со стойкой</t>
        </is>
      </c>
    </row>
    <row r="122">
      <c r="A122" s="3" t="inlineStr">
        <is>
          <t xml:space="preserve">35</t>
        </is>
      </c>
      <c r="B122" s="3" t="inlineStr">
        <is>
          <t xml:space="preserve">ПБ35-3.1</t>
        </is>
      </c>
      <c r="C122" s="3" t="inlineStr">
        <is>
          <t xml:space="preserve">Железобетонная</t>
        </is>
      </c>
      <c r="D122" s="3" t="inlineStr">
        <is>
          <t xml:space="preserve">Промежуточная</t>
        </is>
      </c>
      <c r="E122" s="3" t="inlineStr">
        <is>
          <t xml:space="preserve">3.407.1-164</t>
        </is>
      </c>
      <c r="F122" s="3" t="inlineStr">
        <is>
          <t xml:space="preserve">СК32.2-1</t>
        </is>
      </c>
      <c r="G122" s="3" t="inlineStr">
        <is>
          <t xml:space="preserve">промежуточная</t>
        </is>
      </c>
      <c r="H122" s="3" t="n">
        <v>200</v>
      </c>
      <c r="I122" s="3" t="n">
        <v>14</v>
      </c>
      <c r="J122" s="3" t="n">
        <v>200</v>
      </c>
      <c r="K122" s="3" t="inlineStr">
        <is>
          <t xml:space="preserve">по аналогии со стойкой</t>
        </is>
      </c>
    </row>
    <row r="123">
      <c r="A123" s="3" t="inlineStr">
        <is>
          <t xml:space="preserve">35</t>
        </is>
      </c>
      <c r="B123" s="3" t="inlineStr">
        <is>
          <t xml:space="preserve">ПБГ35-1.1</t>
        </is>
      </c>
      <c r="C123" s="3" t="inlineStr">
        <is>
          <t xml:space="preserve">Железобетонная</t>
        </is>
      </c>
      <c r="D123" s="3" t="inlineStr">
        <is>
          <t xml:space="preserve">Промежуточная (габаритная)</t>
        </is>
      </c>
      <c r="E123" s="3" t="inlineStr">
        <is>
          <t xml:space="preserve">3.407.1-164</t>
        </is>
      </c>
      <c r="F123" s="3" t="inlineStr">
        <is>
          <t xml:space="preserve">СК32.2-1</t>
        </is>
      </c>
      <c r="G123" s="3" t="inlineStr">
        <is>
          <t xml:space="preserve">промежуточная</t>
        </is>
      </c>
      <c r="H123" s="3" t="n">
        <v>200</v>
      </c>
      <c r="I123" s="3" t="n">
        <v>14</v>
      </c>
      <c r="J123" s="3" t="n">
        <v>200</v>
      </c>
      <c r="K123" s="3" t="inlineStr">
        <is>
          <t xml:space="preserve">по аналогии со стойкой</t>
        </is>
      </c>
    </row>
    <row r="124">
      <c r="A124" s="3" t="inlineStr">
        <is>
          <t xml:space="preserve">35</t>
        </is>
      </c>
      <c r="B124" s="3" t="inlineStr">
        <is>
          <t xml:space="preserve">ПУБ35-110-1.1</t>
        </is>
      </c>
      <c r="C124" s="3" t="inlineStr">
        <is>
          <t xml:space="preserve">Железобетонная</t>
        </is>
      </c>
      <c r="D124" s="3" t="inlineStr">
        <is>
          <t xml:space="preserve">Промежуточно-угловая</t>
        </is>
      </c>
      <c r="E124" s="3" t="inlineStr">
        <is>
          <t xml:space="preserve">3.407.1-164</t>
        </is>
      </c>
      <c r="F124" s="3" t="inlineStr">
        <is>
          <t xml:space="preserve">СК32.2-1</t>
        </is>
      </c>
      <c r="G124" s="3" t="inlineStr">
        <is>
          <t xml:space="preserve">угловая</t>
        </is>
      </c>
      <c r="H124" s="3" t="n">
        <v>200</v>
      </c>
      <c r="I124" s="3" t="n">
        <v>14</v>
      </c>
      <c r="J124" s="3" t="n">
        <v>200</v>
      </c>
      <c r="K124" s="3" t="inlineStr">
        <is>
          <t xml:space="preserve">по аналогии со стойкой</t>
        </is>
      </c>
    </row>
    <row r="125">
      <c r="A125" s="3" t="inlineStr">
        <is>
          <t xml:space="preserve">35</t>
        </is>
      </c>
      <c r="B125" s="3" t="inlineStr">
        <is>
          <t xml:space="preserve">УБ35-110-1.1</t>
        </is>
      </c>
      <c r="C125" s="3" t="inlineStr">
        <is>
          <t xml:space="preserve">Железобетонная</t>
        </is>
      </c>
      <c r="D125" s="3" t="inlineStr">
        <is>
          <t xml:space="preserve">Анкерно-угловая</t>
        </is>
      </c>
      <c r="E125" s="3" t="inlineStr">
        <is>
          <t xml:space="preserve">3.407.1-164</t>
        </is>
      </c>
      <c r="F125" s="3" t="inlineStr">
        <is>
          <t xml:space="preserve">СК32.2-1</t>
        </is>
      </c>
      <c r="G125" s="3" t="inlineStr">
        <is>
          <t xml:space="preserve">угловая анкерная</t>
        </is>
      </c>
      <c r="H125" s="3" t="n">
        <v>200</v>
      </c>
      <c r="I125" s="3" t="n">
        <v>14</v>
      </c>
      <c r="J125" s="3" t="n">
        <v>200</v>
      </c>
      <c r="K125" s="3" t="inlineStr">
        <is>
          <t xml:space="preserve">по аналогии со стойкой</t>
        </is>
      </c>
    </row>
    <row r="126">
      <c r="A126" s="3" t="inlineStr">
        <is>
          <t xml:space="preserve">35</t>
        </is>
      </c>
      <c r="B126" s="3" t="inlineStr">
        <is>
          <t xml:space="preserve">КБ35-110-1.1</t>
        </is>
      </c>
      <c r="C126" s="3" t="inlineStr">
        <is>
          <t xml:space="preserve">Железобетонная</t>
        </is>
      </c>
      <c r="D126" s="3" t="inlineStr">
        <is>
          <t xml:space="preserve">Концевая</t>
        </is>
      </c>
      <c r="E126" s="3" t="inlineStr">
        <is>
          <t xml:space="preserve">3.407.1-164</t>
        </is>
      </c>
      <c r="F126" s="3" t="inlineStr">
        <is>
          <t xml:space="preserve">СК32.2-1</t>
        </is>
      </c>
      <c r="G126" s="3" t="inlineStr">
        <is>
          <t xml:space="preserve">концевая</t>
        </is>
      </c>
      <c r="H126" s="3" t="n">
        <v>200</v>
      </c>
      <c r="I126" s="3" t="n">
        <v>14</v>
      </c>
      <c r="J126" s="3" t="n">
        <v>200</v>
      </c>
      <c r="K126" s="3" t="inlineStr">
        <is>
          <t xml:space="preserve">по аналогии со стойкой</t>
        </is>
      </c>
    </row>
    <row r="127">
      <c r="A127" s="3" t="inlineStr">
        <is>
          <t xml:space="preserve">110</t>
        </is>
      </c>
      <c r="B127" s="3" t="inlineStr">
        <is>
          <t xml:space="preserve">П110-1</t>
        </is>
      </c>
      <c r="C127" s="3" t="inlineStr">
        <is>
          <t xml:space="preserve">Стальная</t>
        </is>
      </c>
      <c r="D127" s="3" t="inlineStr">
        <is>
          <t xml:space="preserve">Промежуточная одноцепная</t>
        </is>
      </c>
      <c r="E127" s="3" t="inlineStr">
        <is>
          <t xml:space="preserve">3078тм-т9</t>
        </is>
      </c>
      <c r="F127" s="3" t="inlineStr">
        <is>
          <t xml:space="preserve">— (стальная конструкция)</t>
        </is>
      </c>
      <c r="G127" s="3" t="inlineStr">
        <is>
          <t xml:space="preserve">промежуточная</t>
        </is>
      </c>
      <c r="H127" s="3" t="n">
        <v>160</v>
      </c>
      <c r="I127" s="3" t="n">
        <v>15</v>
      </c>
      <c r="J127" s="3" t="n">
        <v>250</v>
      </c>
      <c r="K127" s="3" t="inlineStr">
        <is>
          <t xml:space="preserve">типовой проект</t>
        </is>
      </c>
    </row>
    <row r="128">
      <c r="A128" s="3" t="inlineStr">
        <is>
          <t xml:space="preserve">110</t>
        </is>
      </c>
      <c r="B128" s="3" t="inlineStr">
        <is>
          <t xml:space="preserve">П110-2</t>
        </is>
      </c>
      <c r="C128" s="3" t="inlineStr">
        <is>
          <t xml:space="preserve">Стальная</t>
        </is>
      </c>
      <c r="D128" s="3" t="inlineStr">
        <is>
          <t xml:space="preserve">Промежуточная двухцепная</t>
        </is>
      </c>
      <c r="E128" s="3" t="inlineStr">
        <is>
          <t xml:space="preserve">3078тм-т9</t>
        </is>
      </c>
      <c r="F128" s="3" t="inlineStr">
        <is>
          <t xml:space="preserve">— (стальная конструкция)</t>
        </is>
      </c>
      <c r="G128" s="3" t="inlineStr">
        <is>
          <t xml:space="preserve">промежуточная</t>
        </is>
      </c>
      <c r="H128" s="3" t="n">
        <v>210</v>
      </c>
      <c r="I128" s="3" t="n">
        <v>19</v>
      </c>
      <c r="J128" s="3" t="n">
        <v>250</v>
      </c>
      <c r="K128" s="3" t="inlineStr">
        <is>
          <t xml:space="preserve">типовой проект</t>
        </is>
      </c>
    </row>
    <row r="129">
      <c r="A129" s="3" t="inlineStr">
        <is>
          <t xml:space="preserve">110</t>
        </is>
      </c>
      <c r="B129" s="3" t="inlineStr">
        <is>
          <t xml:space="preserve">П110-3</t>
        </is>
      </c>
      <c r="C129" s="3" t="inlineStr">
        <is>
          <t xml:space="preserve">Стальная</t>
        </is>
      </c>
      <c r="D129" s="3" t="inlineStr">
        <is>
          <t xml:space="preserve">Промежуточная одноцепная</t>
        </is>
      </c>
      <c r="E129" s="3" t="inlineStr">
        <is>
          <t xml:space="preserve">3078тм-т9</t>
        </is>
      </c>
      <c r="F129" s="3" t="inlineStr">
        <is>
          <t xml:space="preserve">— (стальная конструкция)</t>
        </is>
      </c>
      <c r="G129" s="3" t="inlineStr">
        <is>
          <t xml:space="preserve">промежуточная</t>
        </is>
      </c>
      <c r="H129" s="3" t="n">
        <v>170</v>
      </c>
      <c r="I129" s="3" t="n">
        <v>16</v>
      </c>
      <c r="J129" s="3" t="n">
        <v>250</v>
      </c>
      <c r="K129" s="3" t="inlineStr">
        <is>
          <t xml:space="preserve">типовой проект</t>
        </is>
      </c>
    </row>
    <row r="130">
      <c r="A130" s="3" t="inlineStr">
        <is>
          <t xml:space="preserve">110</t>
        </is>
      </c>
      <c r="B130" s="3" t="inlineStr">
        <is>
          <t xml:space="preserve">П110-4</t>
        </is>
      </c>
      <c r="C130" s="3" t="inlineStr">
        <is>
          <t xml:space="preserve">Стальная</t>
        </is>
      </c>
      <c r="D130" s="3" t="inlineStr">
        <is>
          <t xml:space="preserve">Промежуточная двухцепная</t>
        </is>
      </c>
      <c r="E130" s="3" t="inlineStr">
        <is>
          <t xml:space="preserve">3078тм-т9</t>
        </is>
      </c>
      <c r="F130" s="3" t="inlineStr">
        <is>
          <t xml:space="preserve">— (стальная конструкция)</t>
        </is>
      </c>
      <c r="G130" s="3" t="inlineStr">
        <is>
          <t xml:space="preserve">промежуточная</t>
        </is>
      </c>
      <c r="H130" s="3" t="n">
        <v>220</v>
      </c>
      <c r="I130" s="3" t="n">
        <v>19</v>
      </c>
      <c r="J130" s="3" t="n">
        <v>250</v>
      </c>
      <c r="K130" s="3" t="inlineStr">
        <is>
          <t xml:space="preserve">типовой проект</t>
        </is>
      </c>
    </row>
    <row r="131">
      <c r="A131" s="3" t="inlineStr">
        <is>
          <t xml:space="preserve">110</t>
        </is>
      </c>
      <c r="B131" s="3" t="inlineStr">
        <is>
          <t xml:space="preserve">П110-5</t>
        </is>
      </c>
      <c r="C131" s="3" t="inlineStr">
        <is>
          <t xml:space="preserve">Стальная</t>
        </is>
      </c>
      <c r="D131" s="3" t="inlineStr">
        <is>
          <t xml:space="preserve">Промежуточная одноцепная</t>
        </is>
      </c>
      <c r="E131" s="3" t="inlineStr">
        <is>
          <t xml:space="preserve">3078тм-т9</t>
        </is>
      </c>
      <c r="F131" s="3" t="inlineStr">
        <is>
          <t xml:space="preserve">— (стальная конструкция)</t>
        </is>
      </c>
      <c r="G131" s="3" t="inlineStr">
        <is>
          <t xml:space="preserve">промежуточная</t>
        </is>
      </c>
      <c r="H131" s="3" t="n">
        <v>180</v>
      </c>
      <c r="I131" s="3" t="n">
        <v>16</v>
      </c>
      <c r="J131" s="3" t="n">
        <v>250</v>
      </c>
      <c r="K131" s="3" t="inlineStr">
        <is>
          <t xml:space="preserve">типовой проект</t>
        </is>
      </c>
    </row>
    <row r="132">
      <c r="A132" s="3" t="inlineStr">
        <is>
          <t xml:space="preserve">110</t>
        </is>
      </c>
      <c r="B132" s="3" t="inlineStr">
        <is>
          <t xml:space="preserve">П110-6</t>
        </is>
      </c>
      <c r="C132" s="3" t="inlineStr">
        <is>
          <t xml:space="preserve">Стальная</t>
        </is>
      </c>
      <c r="D132" s="3" t="inlineStr">
        <is>
          <t xml:space="preserve">Промежуточная двухцепная</t>
        </is>
      </c>
      <c r="E132" s="3" t="inlineStr">
        <is>
          <t xml:space="preserve">3078тм-т9</t>
        </is>
      </c>
      <c r="F132" s="3" t="inlineStr">
        <is>
          <t xml:space="preserve">— (стальная конструкция)</t>
        </is>
      </c>
      <c r="G132" s="3" t="inlineStr">
        <is>
          <t xml:space="preserve">промежуточная</t>
        </is>
      </c>
      <c r="H132" s="3" t="n">
        <v>230</v>
      </c>
      <c r="I132" s="3" t="n">
        <v>19</v>
      </c>
      <c r="J132" s="3" t="n">
        <v>250</v>
      </c>
      <c r="K132" s="3" t="inlineStr">
        <is>
          <t xml:space="preserve">типовой проект</t>
        </is>
      </c>
    </row>
    <row r="133">
      <c r="A133" s="3" t="inlineStr">
        <is>
          <t xml:space="preserve">110</t>
        </is>
      </c>
      <c r="B133" s="3" t="inlineStr">
        <is>
          <t xml:space="preserve">ПС110-3</t>
        </is>
      </c>
      <c r="C133" s="3" t="inlineStr">
        <is>
          <t xml:space="preserve">Стальная</t>
        </is>
      </c>
      <c r="D133" s="3" t="inlineStr">
        <is>
          <t xml:space="preserve">Промежуточная специальная одноцепная</t>
        </is>
      </c>
      <c r="E133" s="3" t="inlineStr">
        <is>
          <t xml:space="preserve">3078тм-т9</t>
        </is>
      </c>
      <c r="F133" s="3" t="inlineStr">
        <is>
          <t xml:space="preserve">— (стальная конструкция)</t>
        </is>
      </c>
      <c r="G133" s="3" t="inlineStr">
        <is>
          <t xml:space="preserve">промежуточная</t>
        </is>
      </c>
      <c r="H133" s="3" t="n">
        <v>190</v>
      </c>
      <c r="I133" s="3" t="n">
        <v>16</v>
      </c>
      <c r="J133" s="3" t="n">
        <v>300</v>
      </c>
      <c r="K133" s="3" t="inlineStr">
        <is>
          <t xml:space="preserve">типовой проект</t>
        </is>
      </c>
    </row>
    <row r="134">
      <c r="A134" s="3" t="inlineStr">
        <is>
          <t xml:space="preserve">110</t>
        </is>
      </c>
      <c r="B134" s="3" t="inlineStr">
        <is>
          <t xml:space="preserve">ПС110-4</t>
        </is>
      </c>
      <c r="C134" s="3" t="inlineStr">
        <is>
          <t xml:space="preserve">Стальная</t>
        </is>
      </c>
      <c r="D134" s="3" t="inlineStr">
        <is>
          <t xml:space="preserve">Промежуточная специальная двухцепная</t>
        </is>
      </c>
      <c r="E134" s="3" t="inlineStr">
        <is>
          <t xml:space="preserve">3078тм-т9</t>
        </is>
      </c>
      <c r="F134" s="3" t="inlineStr">
        <is>
          <t xml:space="preserve">— (стальная конструкция)</t>
        </is>
      </c>
      <c r="G134" s="3" t="inlineStr">
        <is>
          <t xml:space="preserve">промежуточная</t>
        </is>
      </c>
      <c r="H134" s="3" t="n">
        <v>240</v>
      </c>
      <c r="I134" s="3" t="n">
        <v>19</v>
      </c>
      <c r="J134" s="3" t="n">
        <v>300</v>
      </c>
      <c r="K134" s="3" t="inlineStr">
        <is>
          <t xml:space="preserve">типовой проект</t>
        </is>
      </c>
    </row>
    <row r="135">
      <c r="A135" s="3" t="inlineStr">
        <is>
          <t xml:space="preserve">110</t>
        </is>
      </c>
      <c r="B135" s="3" t="inlineStr">
        <is>
          <t xml:space="preserve">ПС110-9</t>
        </is>
      </c>
      <c r="C135" s="3" t="inlineStr">
        <is>
          <t xml:space="preserve">Стальная</t>
        </is>
      </c>
      <c r="D135" s="3" t="inlineStr">
        <is>
          <t xml:space="preserve">Промежуточная специальная</t>
        </is>
      </c>
      <c r="E135" s="3" t="inlineStr">
        <is>
          <t xml:space="preserve">3079тм-т6</t>
        </is>
      </c>
      <c r="F135" s="3" t="inlineStr">
        <is>
          <t xml:space="preserve">— (стальная конструкция)</t>
        </is>
      </c>
      <c r="G135" s="3" t="inlineStr">
        <is>
          <t xml:space="preserve">промежуточная</t>
        </is>
      </c>
      <c r="H135" s="3" t="n">
        <v>250</v>
      </c>
      <c r="I135" s="3" t="n">
        <v>20</v>
      </c>
      <c r="J135" s="3" t="n">
        <v>300</v>
      </c>
      <c r="K135" s="3" t="inlineStr">
        <is>
          <t xml:space="preserve">типовой проект</t>
        </is>
      </c>
    </row>
    <row r="136">
      <c r="A136" s="3" t="inlineStr">
        <is>
          <t xml:space="preserve">110</t>
        </is>
      </c>
      <c r="B136" s="3" t="inlineStr">
        <is>
          <t xml:space="preserve">У110-1</t>
        </is>
      </c>
      <c r="C136" s="3" t="inlineStr">
        <is>
          <t xml:space="preserve">Стальная</t>
        </is>
      </c>
      <c r="D136" s="3" t="inlineStr">
        <is>
          <t xml:space="preserve">Анкерно-угловая одноцепная</t>
        </is>
      </c>
      <c r="E136" s="3" t="inlineStr">
        <is>
          <t xml:space="preserve">3078тм-т10</t>
        </is>
      </c>
      <c r="F136" s="3" t="inlineStr">
        <is>
          <t xml:space="preserve">— (стальная конструкция)</t>
        </is>
      </c>
      <c r="G136" s="3" t="inlineStr">
        <is>
          <t xml:space="preserve">угловая анкерная</t>
        </is>
      </c>
      <c r="H136" s="3" t="n">
        <v>300</v>
      </c>
      <c r="I136" s="3" t="n">
        <v>19</v>
      </c>
      <c r="J136" s="3" t="n">
        <v>250</v>
      </c>
      <c r="K136" s="3" t="inlineStr">
        <is>
          <t xml:space="preserve">типовой проект</t>
        </is>
      </c>
    </row>
    <row r="137">
      <c r="A137" s="3" t="inlineStr">
        <is>
          <t xml:space="preserve">110</t>
        </is>
      </c>
      <c r="B137" s="3" t="inlineStr">
        <is>
          <t xml:space="preserve">У110-2</t>
        </is>
      </c>
      <c r="C137" s="3" t="inlineStr">
        <is>
          <t xml:space="preserve">Стальная</t>
        </is>
      </c>
      <c r="D137" s="3" t="inlineStr">
        <is>
          <t xml:space="preserve">Анкерно-угловая двухцепная</t>
        </is>
      </c>
      <c r="E137" s="3" t="inlineStr">
        <is>
          <t xml:space="preserve">3078тм-т10</t>
        </is>
      </c>
      <c r="F137" s="3" t="inlineStr">
        <is>
          <t xml:space="preserve">— (стальная конструкция)</t>
        </is>
      </c>
      <c r="G137" s="3" t="inlineStr">
        <is>
          <t xml:space="preserve">угловая анкерная</t>
        </is>
      </c>
      <c r="H137" s="3" t="n">
        <v>380</v>
      </c>
      <c r="I137" s="3" t="n">
        <v>24.7</v>
      </c>
      <c r="J137" s="3" t="n">
        <v>250</v>
      </c>
      <c r="K137" s="3" t="inlineStr">
        <is>
          <t xml:space="preserve">типовой проект</t>
        </is>
      </c>
    </row>
    <row r="138">
      <c r="A138" s="3" t="inlineStr">
        <is>
          <t xml:space="preserve">110</t>
        </is>
      </c>
      <c r="B138" s="3" t="inlineStr">
        <is>
          <t xml:space="preserve">У110-3</t>
        </is>
      </c>
      <c r="C138" s="3" t="inlineStr">
        <is>
          <t xml:space="preserve">Стальная</t>
        </is>
      </c>
      <c r="D138" s="3" t="inlineStr">
        <is>
          <t xml:space="preserve">Анкерно-угловая одноцепная</t>
        </is>
      </c>
      <c r="E138" s="3" t="inlineStr">
        <is>
          <t xml:space="preserve">7227тм-т2</t>
        </is>
      </c>
      <c r="F138" s="3" t="inlineStr">
        <is>
          <t xml:space="preserve">— (стальная конструкция)</t>
        </is>
      </c>
      <c r="G138" s="3" t="inlineStr">
        <is>
          <t xml:space="preserve">угловая анкерная</t>
        </is>
      </c>
      <c r="H138" s="3" t="n">
        <v>320</v>
      </c>
      <c r="I138" s="3" t="n">
        <v>19</v>
      </c>
      <c r="J138" s="3" t="n">
        <v>250</v>
      </c>
      <c r="K138" s="3" t="inlineStr">
        <is>
          <t xml:space="preserve">типовой проект</t>
        </is>
      </c>
    </row>
    <row r="139">
      <c r="A139" s="3" t="inlineStr">
        <is>
          <t xml:space="preserve">110</t>
        </is>
      </c>
      <c r="B139" s="3" t="inlineStr">
        <is>
          <t xml:space="preserve">У110-4</t>
        </is>
      </c>
      <c r="C139" s="3" t="inlineStr">
        <is>
          <t xml:space="preserve">Стальная</t>
        </is>
      </c>
      <c r="D139" s="3" t="inlineStr">
        <is>
          <t xml:space="preserve">Анкерно-угловая двухцепная</t>
        </is>
      </c>
      <c r="E139" s="3" t="inlineStr">
        <is>
          <t xml:space="preserve">7227тм-т2</t>
        </is>
      </c>
      <c r="F139" s="3" t="inlineStr">
        <is>
          <t xml:space="preserve">— (стальная конструкция)</t>
        </is>
      </c>
      <c r="G139" s="3" t="inlineStr">
        <is>
          <t xml:space="preserve">угловая анкерная</t>
        </is>
      </c>
      <c r="H139" s="3" t="n">
        <v>400</v>
      </c>
      <c r="I139" s="3" t="n">
        <v>24</v>
      </c>
      <c r="J139" s="3" t="n">
        <v>250</v>
      </c>
      <c r="K139" s="3" t="inlineStr">
        <is>
          <t xml:space="preserve">типовой проект</t>
        </is>
      </c>
    </row>
    <row r="140">
      <c r="A140" s="3" t="inlineStr">
        <is>
          <t xml:space="preserve">110</t>
        </is>
      </c>
      <c r="B140" s="3" t="inlineStr">
        <is>
          <t xml:space="preserve">УС110-3</t>
        </is>
      </c>
      <c r="C140" s="3" t="inlineStr">
        <is>
          <t xml:space="preserve">Стальная</t>
        </is>
      </c>
      <c r="D140" s="3" t="inlineStr">
        <is>
          <t xml:space="preserve">Анкерно-угловая специальная</t>
        </is>
      </c>
      <c r="E140" s="3" t="inlineStr">
        <is>
          <t xml:space="preserve">3079тм-т4</t>
        </is>
      </c>
      <c r="F140" s="3" t="inlineStr">
        <is>
          <t xml:space="preserve">— (стальная конструкция)</t>
        </is>
      </c>
      <c r="G140" s="3" t="inlineStr">
        <is>
          <t xml:space="preserve">угловая анкерная</t>
        </is>
      </c>
      <c r="H140" s="3" t="n">
        <v>360</v>
      </c>
      <c r="I140" s="3" t="n">
        <v>20</v>
      </c>
      <c r="J140" s="3" t="n">
        <v>300</v>
      </c>
      <c r="K140" s="3" t="inlineStr">
        <is>
          <t xml:space="preserve">типовой проект</t>
        </is>
      </c>
    </row>
    <row r="141">
      <c r="A141" s="3" t="inlineStr">
        <is>
          <t xml:space="preserve">110</t>
        </is>
      </c>
      <c r="B141" s="3" t="inlineStr">
        <is>
          <t xml:space="preserve">УС110-5</t>
        </is>
      </c>
      <c r="C141" s="3" t="inlineStr">
        <is>
          <t xml:space="preserve">Стальная</t>
        </is>
      </c>
      <c r="D141" s="3" t="inlineStr">
        <is>
          <t xml:space="preserve">Анкерно-угловая специальная</t>
        </is>
      </c>
      <c r="E141" s="3" t="inlineStr">
        <is>
          <t xml:space="preserve">3079тм-т5</t>
        </is>
      </c>
      <c r="F141" s="3" t="inlineStr">
        <is>
          <t xml:space="preserve">— (стальная конструкция)</t>
        </is>
      </c>
      <c r="G141" s="3" t="inlineStr">
        <is>
          <t xml:space="preserve">угловая анкерная</t>
        </is>
      </c>
      <c r="H141" s="3" t="n">
        <v>380</v>
      </c>
      <c r="I141" s="3" t="n">
        <v>20</v>
      </c>
      <c r="J141" s="3" t="n">
        <v>300</v>
      </c>
      <c r="K141" s="3" t="inlineStr">
        <is>
          <t xml:space="preserve">типовой проект</t>
        </is>
      </c>
    </row>
    <row r="142">
      <c r="A142" s="3" t="inlineStr">
        <is>
          <t xml:space="preserve">110</t>
        </is>
      </c>
      <c r="B142" s="3" t="inlineStr">
        <is>
          <t xml:space="preserve">ПБ110-1</t>
        </is>
      </c>
      <c r="C142" s="3" t="inlineStr">
        <is>
          <t xml:space="preserve">Железобетонная</t>
        </is>
      </c>
      <c r="D142" s="3" t="inlineStr">
        <is>
          <t xml:space="preserve">Промежуточная (на стойке СК22)</t>
        </is>
      </c>
      <c r="E142" s="3" t="inlineStr">
        <is>
          <t xml:space="preserve">3.407.1-151</t>
        </is>
      </c>
      <c r="F142" s="3" t="inlineStr">
        <is>
          <t xml:space="preserve">СК22</t>
        </is>
      </c>
      <c r="G142" s="3" t="inlineStr">
        <is>
          <t xml:space="preserve">промежуточная</t>
        </is>
      </c>
      <c r="H142" s="3" t="n">
        <v>110</v>
      </c>
      <c r="I142" s="3" t="n">
        <v>15</v>
      </c>
      <c r="J142" s="3" t="n">
        <v>200</v>
      </c>
      <c r="K142" s="3" t="inlineStr">
        <is>
          <t xml:space="preserve">типовой проект</t>
        </is>
      </c>
    </row>
    <row r="143">
      <c r="A143" s="3" t="inlineStr">
        <is>
          <t xml:space="preserve">110</t>
        </is>
      </c>
      <c r="B143" s="3" t="inlineStr">
        <is>
          <t xml:space="preserve">ПБ110-4</t>
        </is>
      </c>
      <c r="C143" s="3" t="inlineStr">
        <is>
          <t xml:space="preserve">Железобетонная</t>
        </is>
      </c>
      <c r="D143" s="3" t="inlineStr">
        <is>
          <t xml:space="preserve">Промежуточная (на стойке СК26)</t>
        </is>
      </c>
      <c r="E143" s="3" t="inlineStr">
        <is>
          <t xml:space="preserve">3.407.1-151</t>
        </is>
      </c>
      <c r="F143" s="3" t="inlineStr">
        <is>
          <t xml:space="preserve">СК26</t>
        </is>
      </c>
      <c r="G143" s="3" t="inlineStr">
        <is>
          <t xml:space="preserve">промежуточная</t>
        </is>
      </c>
      <c r="H143" s="3" t="n">
        <v>160</v>
      </c>
      <c r="I143" s="3" t="n">
        <v>17</v>
      </c>
      <c r="J143" s="3" t="n">
        <v>220</v>
      </c>
      <c r="K143" s="3" t="inlineStr">
        <is>
          <t xml:space="preserve">типовой проект</t>
        </is>
      </c>
    </row>
    <row r="144">
      <c r="A144" s="3" t="inlineStr">
        <is>
          <t xml:space="preserve">110</t>
        </is>
      </c>
      <c r="B144" s="3" t="inlineStr">
        <is>
          <t xml:space="preserve">ПБ110-6</t>
        </is>
      </c>
      <c r="C144" s="3" t="inlineStr">
        <is>
          <t xml:space="preserve">Железобетонная</t>
        </is>
      </c>
      <c r="D144" s="3" t="inlineStr">
        <is>
          <t xml:space="preserve">Промежуточная бетонная</t>
        </is>
      </c>
      <c r="E144" s="3" t="inlineStr">
        <is>
          <t xml:space="preserve">3.407-131 вып.1</t>
        </is>
      </c>
      <c r="F144" s="3" t="inlineStr">
        <is>
          <t xml:space="preserve">СК22</t>
        </is>
      </c>
      <c r="G144" s="3" t="inlineStr">
        <is>
          <t xml:space="preserve">промежуточная</t>
        </is>
      </c>
      <c r="H144" s="3" t="n">
        <v>110</v>
      </c>
      <c r="I144" s="3" t="n">
        <v>16</v>
      </c>
      <c r="J144" s="3" t="n">
        <v>200</v>
      </c>
      <c r="K144" s="3" t="inlineStr">
        <is>
          <t xml:space="preserve">типовой проект</t>
        </is>
      </c>
    </row>
    <row r="145">
      <c r="A145" s="3" t="inlineStr">
        <is>
          <t xml:space="preserve">110</t>
        </is>
      </c>
      <c r="B145" s="3" t="inlineStr">
        <is>
          <t xml:space="preserve">УБ110-1</t>
        </is>
      </c>
      <c r="C145" s="3" t="inlineStr">
        <is>
          <t xml:space="preserve">Железобетонная</t>
        </is>
      </c>
      <c r="D145" s="3" t="inlineStr">
        <is>
          <t xml:space="preserve">Анкерно-угловая (на стойке СК)</t>
        </is>
      </c>
      <c r="E145" s="3" t="inlineStr">
        <is>
          <t xml:space="preserve">3.407.1-151</t>
        </is>
      </c>
      <c r="F145" s="3" t="inlineStr">
        <is>
          <t xml:space="preserve">СК26</t>
        </is>
      </c>
      <c r="G145" s="3" t="inlineStr">
        <is>
          <t xml:space="preserve">угловая анкерная</t>
        </is>
      </c>
      <c r="H145" s="3" t="n">
        <v>160</v>
      </c>
      <c r="I145" s="3" t="n">
        <v>15</v>
      </c>
      <c r="J145" s="3" t="n">
        <v>220</v>
      </c>
      <c r="K145" s="3" t="inlineStr">
        <is>
          <t xml:space="preserve">типовой проект</t>
        </is>
      </c>
    </row>
  </sheetData>
</worksheet>
</file>

<file path=xl/worksheets/sheet13.xml><?xml version="1.0" encoding="utf-8"?>
<worksheet xmlns="http://schemas.openxmlformats.org/spreadsheetml/2006/main">
  <dimension ref="A1:H16"/>
  <sheetViews>
    <sheetView workbookViewId="0">
      <pane xSplit="0" ySplit="3" topLeftCell="A4" activePane="bottomLeft" state="frozen"/>
    </sheetView>
  </sheetViews>
  <cols>
    <col width="46" customWidth="1" min="1" max="1"/>
    <col width="20" customWidth="1" min="2" max="2"/>
    <col width="40" customWidth="1" min="3" max="3"/>
    <col width="18" customWidth="1" min="4" max="4"/>
    <col width="12" customWidth="1" min="5" max="5"/>
    <col width="52" customWidth="1" min="6" max="6"/>
    <col width="18" customWidth="1" min="7" max="7"/>
    <col width="30" customWidth="1" min="8" max="8"/>
  </cols>
  <sheetData>
    <row r="1">
      <c r="A1" s="1" t="inlineStr">
        <is>
          <t xml:space="preserve">СПРАВОЧНИК ВИДОВ ИЗМЕРЕНИЙ (осмотр и измерения — в границах отчёта ППО)</t>
        </is>
      </c>
    </row>
    <row r="2">
      <c r="A2" s="2" t="inlineStr">
        <is>
          <t xml:space="preserve">Раздел Г.1 — фактическое состояние конструкции. Раздел Г.2 — фактически свободные интервалы под ещё не смонтированный кабель: кабеля на опоре нет, измерять нечего, поэтому вывод даётся в форме «достаточно / недостаточно». Графа «Что вводится» показывает измеряемые в поле величины: остальное рабочее место считает само.</t>
        </is>
      </c>
    </row>
    <row r="3">
      <c r="A3" s="2" t="inlineStr">
        <is>
          <t xml:space="preserve">Вид измерения</t>
        </is>
      </c>
      <c r="B3" s="2" t="inlineStr">
        <is>
          <t xml:space="preserve">Место (отметка)</t>
        </is>
      </c>
      <c r="C3" s="2" t="inlineStr">
        <is>
          <t xml:space="preserve">Что вводится в поле</t>
        </is>
      </c>
      <c r="D3" s="2" t="inlineStr">
        <is>
          <t xml:space="preserve">Значение (образец)</t>
        </is>
      </c>
      <c r="E3" s="2" t="inlineStr">
        <is>
          <t xml:space="preserve">Ед. изм.</t>
        </is>
      </c>
      <c r="F3" s="2" t="inlineStr">
        <is>
          <t xml:space="preserve">Нормативное требование</t>
        </is>
      </c>
      <c r="G3" s="2" t="inlineStr">
        <is>
          <t xml:space="preserve">Вывод (образец)</t>
        </is>
      </c>
      <c r="H3" s="2" t="inlineStr">
        <is>
          <t xml:space="preserve">Раздел протокола</t>
        </is>
      </c>
    </row>
    <row r="4">
      <c r="A4" s="3" t="inlineStr">
        <is>
          <t xml:space="preserve">Отклонение стойки от вертикали</t>
        </is>
      </c>
      <c r="B4" s="3" t="inlineStr">
        <is>
          <t xml:space="preserve">вершина</t>
        </is>
      </c>
      <c r="C4" s="3" t="inlineStr">
        <is>
          <t xml:space="preserve">Угол отклонения от вертикали, град; Высота опоры (надземная часть), м</t>
        </is>
      </c>
      <c r="D4" s="3" t="inlineStr">
        <is>
          <t xml:space="preserve">1/115</t>
        </is>
      </c>
      <c r="E4" s="3" t="inlineStr">
        <is>
          <t xml:space="preserve">—</t>
        </is>
      </c>
      <c r="F4" s="3" t="inlineStr">
        <is>
          <t xml:space="preserve">не более 1/100 высоты опоры (ГОСТ 31937-2024, СП 20.13330.2016)</t>
        </is>
      </c>
      <c r="G4" s="3" t="inlineStr">
        <is>
          <t xml:space="preserve">соответствует</t>
        </is>
      </c>
      <c r="H4" s="3" t="inlineStr">
        <is>
          <t xml:space="preserve">Г.1 — фактическое состояние</t>
        </is>
      </c>
    </row>
    <row r="5">
      <c r="A5" s="3" t="inlineStr">
        <is>
          <t xml:space="preserve">Прочность бетона на сжатие (ударный импульс)</t>
        </is>
      </c>
      <c r="B5" s="3" t="inlineStr">
        <is>
          <t xml:space="preserve">1,2 м</t>
        </is>
      </c>
      <c r="C5" s="3" t="inlineStr">
        <is>
          <t xml:space="preserve">Фактическая прочность, МПа; Проектный класс бетона (число, МПа)</t>
        </is>
      </c>
      <c r="D5" s="3" t="inlineStr">
        <is>
          <t xml:space="preserve">35</t>
        </is>
      </c>
      <c r="E5" s="3" t="inlineStr">
        <is>
          <t xml:space="preserve">МПа</t>
        </is>
      </c>
      <c r="F5" s="3" t="inlineStr">
        <is>
          <t xml:space="preserve">не ниже проектного класса бетона B30 (ГОСТ 22690-2015)</t>
        </is>
      </c>
      <c r="G5" s="3" t="inlineStr">
        <is>
          <t xml:space="preserve">соответствует</t>
        </is>
      </c>
      <c r="H5" s="3" t="inlineStr">
        <is>
          <t xml:space="preserve">Г.1 — фактическое состояние</t>
        </is>
      </c>
    </row>
    <row r="6">
      <c r="A6" s="3" t="inlineStr">
        <is>
          <t xml:space="preserve">Габарит нижнего провода до земли</t>
        </is>
      </c>
      <c r="B6" s="3" t="inlineStr">
        <is>
          <t xml:space="preserve">середина пролёта</t>
        </is>
      </c>
      <c r="C6" s="3" t="inlineStr">
        <is>
          <t xml:space="preserve">Замеренный габарит, м</t>
        </is>
      </c>
      <c r="D6" s="3" t="inlineStr">
        <is>
          <t xml:space="preserve">7,5</t>
        </is>
      </c>
      <c r="E6" s="3" t="inlineStr">
        <is>
          <t xml:space="preserve">м</t>
        </is>
      </c>
      <c r="F6" s="3" t="inlineStr">
        <is>
          <t xml:space="preserve">не менее 7 м для 10 кВ (ПУЭ-7, табл. 2.5.20/2.5.22)</t>
        </is>
      </c>
      <c r="G6" s="3" t="inlineStr">
        <is>
          <t xml:space="preserve">соответствует</t>
        </is>
      </c>
      <c r="H6" s="3" t="inlineStr">
        <is>
          <t xml:space="preserve">Г.1 — фактическое состояние</t>
        </is>
      </c>
    </row>
    <row r="7">
      <c r="A7" s="3" t="inlineStr">
        <is>
          <t xml:space="preserve">Свободная высота под размещение ОК над землёй</t>
        </is>
      </c>
      <c r="B7" s="3" t="inlineStr">
        <is>
          <t xml:space="preserve">середина пролёта</t>
        </is>
      </c>
      <c r="C7" s="3" t="inlineStr">
        <is>
          <t xml:space="preserve">Фактически свободный интервал, м</t>
        </is>
      </c>
      <c r="D7" s="3" t="inlineStr">
        <is>
          <t xml:space="preserve">5,5</t>
        </is>
      </c>
      <c r="E7" s="3" t="inlineStr">
        <is>
          <t xml:space="preserve">м</t>
        </is>
      </c>
      <c r="F7" s="3" t="inlineStr">
        <is>
          <t xml:space="preserve">не менее 5,0 м (ПУЭ-7 п. 2.4.89; ТТ № 282р п. 3.2.4)</t>
        </is>
      </c>
      <c r="G7" s="3" t="inlineStr">
        <is>
          <t xml:space="preserve">достаточно</t>
        </is>
      </c>
      <c r="H7" s="3" t="inlineStr">
        <is>
          <t xml:space="preserve">Г.2 — достаточность интервалов</t>
        </is>
      </c>
    </row>
    <row r="8">
      <c r="A8" s="3" t="inlineStr">
        <is>
          <t xml:space="preserve">Свободный интервал от предполагаемой точки подвеса ОК до провода</t>
        </is>
      </c>
      <c r="B8" s="3" t="inlineStr">
        <is>
          <t xml:space="preserve">узел крепления</t>
        </is>
      </c>
      <c r="C8" s="3" t="inlineStr">
        <is>
          <t xml:space="preserve">Фактически свободный интервал, м</t>
        </is>
      </c>
      <c r="D8" s="3" t="inlineStr">
        <is>
          <t xml:space="preserve">0,8</t>
        </is>
      </c>
      <c r="E8" s="3" t="inlineStr">
        <is>
          <t xml:space="preserve">м</t>
        </is>
      </c>
      <c r="F8" s="3" t="inlineStr">
        <is>
          <t xml:space="preserve">не менее 0,6 м для 10 кВ (ТТ № 282р п. 3.2.2)</t>
        </is>
      </c>
      <c r="G8" s="3" t="inlineStr">
        <is>
          <t xml:space="preserve">достаточно</t>
        </is>
      </c>
      <c r="H8" s="3" t="inlineStr">
        <is>
          <t xml:space="preserve">Г.2 — достаточность интервалов</t>
        </is>
      </c>
    </row>
    <row r="9">
      <c r="A9" s="3" t="inlineStr">
        <is>
          <t xml:space="preserve">Свободный интервал от точки подвеса ОК до элементов опоры</t>
        </is>
      </c>
      <c r="B9" s="3" t="inlineStr">
        <is>
          <t xml:space="preserve">траверса</t>
        </is>
      </c>
      <c r="C9" s="3" t="inlineStr">
        <is>
          <t xml:space="preserve">Фактически свободный интервал, м</t>
        </is>
      </c>
      <c r="D9" s="3" t="inlineStr">
        <is>
          <t xml:space="preserve">0,3</t>
        </is>
      </c>
      <c r="E9" s="3" t="inlineStr">
        <is>
          <t xml:space="preserve">м</t>
        </is>
      </c>
      <c r="F9" s="3" t="inlineStr">
        <is>
          <t xml:space="preserve">не менее 0,20 м (ТТ № 282р п. 3.2.3)</t>
        </is>
      </c>
      <c r="G9" s="3" t="inlineStr">
        <is>
          <t xml:space="preserve">достаточно</t>
        </is>
      </c>
      <c r="H9" s="3" t="inlineStr">
        <is>
          <t xml:space="preserve">Г.2 — достаточность интервалов</t>
        </is>
      </c>
    </row>
    <row r="10">
      <c r="A10" s="3" t="inlineStr">
        <is>
          <t xml:space="preserve">Глубина заложения / состояние закрепления в грунте</t>
        </is>
      </c>
      <c r="B10" s="3" t="inlineStr">
        <is>
          <t xml:space="preserve">основание</t>
        </is>
      </c>
      <c r="C10" s="3" t="inlineStr">
        <is>
          <t xml:space="preserve">Фактическая глубина, м; Требуется по типовому проекту, м</t>
        </is>
      </c>
      <c r="D10" s="3" t="inlineStr">
        <is>
          <t xml:space="preserve">2,2</t>
        </is>
      </c>
      <c r="E10" s="3" t="inlineStr">
        <is>
          <t xml:space="preserve">м</t>
        </is>
      </c>
      <c r="F10" s="3" t="inlineStr">
        <is>
          <t xml:space="preserve">не менее 2 м по типовому проекту опоры; без просадок и оголения (ГОСТ 31937-2024)</t>
        </is>
      </c>
      <c r="G10" s="3" t="inlineStr">
        <is>
          <t xml:space="preserve">соответствует</t>
        </is>
      </c>
      <c r="H10" s="3" t="inlineStr">
        <is>
          <t xml:space="preserve">Г.1 — фактическое состояние</t>
        </is>
      </c>
    </row>
    <row r="11">
      <c r="A11" s="3" t="inlineStr">
        <is>
          <t xml:space="preserve">Диаметр стойки (сечение)</t>
        </is>
      </c>
      <c r="B11" s="3" t="inlineStr">
        <is>
          <t xml:space="preserve">уровень земли</t>
        </is>
      </c>
      <c r="C11" s="3" t="inlineStr">
        <is>
          <t xml:space="preserve">Замеренный диаметр, м; По типовому проекту, м</t>
        </is>
      </c>
      <c r="D11" s="3" t="inlineStr">
        <is>
          <t xml:space="preserve">0,164</t>
        </is>
      </c>
      <c r="E11" s="3" t="inlineStr">
        <is>
          <t xml:space="preserve">м</t>
        </is>
      </c>
      <c r="F11" s="3" t="inlineStr">
        <is>
          <t xml:space="preserve">по типовому проекту опоры (0,164 м)</t>
        </is>
      </c>
      <c r="G11" s="3" t="inlineStr">
        <is>
          <t xml:space="preserve">соответствует</t>
        </is>
      </c>
      <c r="H11" s="3" t="inlineStr">
        <is>
          <t xml:space="preserve">Г.1 — фактическое состояние</t>
        </is>
      </c>
    </row>
    <row r="12">
      <c r="A12" s="3" t="inlineStr">
        <is>
          <t xml:space="preserve">Ширина раскрытия трещин ж/б стойки</t>
        </is>
      </c>
      <c r="B12" s="3" t="inlineStr">
        <is>
          <t xml:space="preserve">зона заделки</t>
        </is>
      </c>
      <c r="C12" s="3" t="inlineStr">
        <is>
          <t xml:space="preserve">Ширина раскрытия, мм; Допускается, мм</t>
        </is>
      </c>
      <c r="E12" s="3" t="inlineStr">
        <is>
          <t xml:space="preserve">мм</t>
        </is>
      </c>
      <c r="H12" s="3" t="inlineStr">
        <is>
          <t xml:space="preserve">Г.1 — фактическое состояние</t>
        </is>
      </c>
    </row>
    <row r="13">
      <c r="A13" s="3" t="inlineStr">
        <is>
          <t xml:space="preserve">Толщина защитного слоя бетона</t>
        </is>
      </c>
      <c r="B13" s="3" t="inlineStr">
        <is>
          <t xml:space="preserve">стойка</t>
        </is>
      </c>
      <c r="C13" s="3" t="inlineStr">
        <is>
          <t xml:space="preserve">Фактическая толщина, мм; По проекту, мм</t>
        </is>
      </c>
      <c r="E13" s="3" t="inlineStr">
        <is>
          <t xml:space="preserve">мм</t>
        </is>
      </c>
      <c r="H13" s="3" t="inlineStr">
        <is>
          <t xml:space="preserve">Г.1 — фактическое состояние</t>
        </is>
      </c>
    </row>
    <row r="14">
      <c r="A14" s="3" t="inlineStr">
        <is>
          <t xml:space="preserve">Сопротивление заземляющего устройства опоры</t>
        </is>
      </c>
      <c r="B14" s="3" t="inlineStr">
        <is>
          <t xml:space="preserve">заземлитель</t>
        </is>
      </c>
      <c r="C14" s="3" t="inlineStr">
        <is>
          <t xml:space="preserve">Замеренное сопротивление, Ом; Удельное сопротивление грунта ρ, Ом·м</t>
        </is>
      </c>
      <c r="E14" s="3" t="inlineStr">
        <is>
          <t xml:space="preserve">Ом</t>
        </is>
      </c>
      <c r="H14" s="3" t="inlineStr">
        <is>
          <t xml:space="preserve">Г.1 — фактическое состояние</t>
        </is>
      </c>
    </row>
    <row r="15">
      <c r="A15" s="3" t="inlineStr">
        <is>
          <t xml:space="preserve">Свободный интервал по вертикали для точки крепления ОК</t>
        </is>
      </c>
      <c r="B15" s="3" t="inlineStr">
        <is>
          <t xml:space="preserve">опора</t>
        </is>
      </c>
      <c r="C15" s="3" t="inlineStr">
        <is>
          <t xml:space="preserve">Фактически свободный интервал, м</t>
        </is>
      </c>
      <c r="E15" s="3" t="inlineStr">
        <is>
          <t xml:space="preserve">м</t>
        </is>
      </c>
      <c r="H15" s="3" t="inlineStr">
        <is>
          <t xml:space="preserve">Г.2 — достаточность интервалов</t>
        </is>
      </c>
    </row>
    <row r="16">
      <c r="A16" s="3" t="inlineStr">
        <is>
          <t xml:space="preserve">Свободный интервал по горизонтали для точки крепления ОК</t>
        </is>
      </c>
      <c r="B16" s="3" t="inlineStr">
        <is>
          <t xml:space="preserve">опора</t>
        </is>
      </c>
      <c r="C16" s="3" t="inlineStr">
        <is>
          <t xml:space="preserve">Фактически свободный интервал, м</t>
        </is>
      </c>
      <c r="E16" s="3" t="inlineStr">
        <is>
          <t xml:space="preserve">м</t>
        </is>
      </c>
      <c r="H16" s="3" t="inlineStr">
        <is>
          <t xml:space="preserve">Г.2 — достаточность интервалов</t>
        </is>
      </c>
    </row>
  </sheetData>
</worksheet>
</file>

<file path=xl/worksheets/sheet14.xml><?xml version="1.0" encoding="utf-8"?>
<worksheet xmlns="http://schemas.openxmlformats.org/spreadsheetml/2006/main">
  <dimension ref="A1:H7"/>
  <sheetViews>
    <sheetView workbookViewId="0">
      <pane xSplit="0" ySplit="3" topLeftCell="A4" activePane="bottomLeft" state="frozen"/>
    </sheetView>
  </sheetViews>
  <cols>
    <col width="18" customWidth="1" min="1" max="1"/>
    <col width="58" customWidth="1" min="2" max="2"/>
    <col width="34" customWidth="1" min="3" max="3"/>
    <col width="32" customWidth="1" min="4" max="4"/>
    <col width="24" customWidth="1" min="5" max="5"/>
    <col width="18" customWidth="1" min="6" max="6"/>
    <col width="44" customWidth="1" min="7" max="7"/>
    <col width="44" customWidth="1" min="8" max="8"/>
  </cols>
  <sheetData>
    <row r="1">
      <c r="A1" s="1" t="inlineStr">
        <is>
          <t xml:space="preserve">СПРАВОЧНИК ДЕФЕКТОВ И ПОСЛЕДСТВИЙ (осмотр по ГОСТ 31937-2024)</t>
        </is>
      </c>
    </row>
    <row r="2">
      <c r="A2" s="2" t="inlineStr">
        <is>
          <t xml:space="preserve">Дефектной опору делает КАТЕГОРИЯ, и только она: категория задаёт состояние конструкции, вывод о технологической возможности и коэффициент снижения несущей способности. Описание при категории «—» дефектом не считается: опора остаётся бездефектной, а описание уходит в графу «Примечание» перечня опор. Типовое описание зависит от материала стойки: у железобетонной это разрушение защитного слоя, у деревянной — загнивание древесины; категория, состояние и вывод при этом одни и те же.</t>
        </is>
      </c>
    </row>
    <row r="3">
      <c r="A3" s="2" t="inlineStr">
        <is>
          <t xml:space="preserve">Категория дефекта</t>
        </is>
      </c>
      <c r="B3" s="2" t="inlineStr">
        <is>
          <t xml:space="preserve">Дефект (типовое описание)</t>
        </is>
      </c>
      <c r="C3" s="2" t="inlineStr">
        <is>
          <t xml:space="preserve">То же для деревянной стойки</t>
        </is>
      </c>
      <c r="D3" s="2" t="inlineStr">
        <is>
          <t xml:space="preserve">Состояние конструкции (ГОСТ 31937-2024)</t>
        </is>
      </c>
      <c r="E3" s="2" t="inlineStr">
        <is>
          <t xml:space="preserve">Технологическая возможность</t>
        </is>
      </c>
      <c r="F3" s="2" t="inlineStr">
        <is>
          <t xml:space="preserve">Коэффициент снижения</t>
        </is>
      </c>
      <c r="G3" s="2" t="inlineStr">
        <is>
          <t xml:space="preserve">Мероприятие (рекомендация в проект)</t>
        </is>
      </c>
      <c r="H3" s="2" t="inlineStr">
        <is>
          <t xml:space="preserve">Примечание</t>
        </is>
      </c>
    </row>
    <row r="4">
      <c r="A4" s="3" t="inlineStr">
        <is>
          <t xml:space="preserve">—</t>
        </is>
      </c>
      <c r="D4" s="3" t="inlineStr">
        <is>
          <t xml:space="preserve">Работоспособное</t>
        </is>
      </c>
      <c r="E4" s="3" t="inlineStr">
        <is>
          <t xml:space="preserve">есть</t>
        </is>
      </c>
      <c r="F4" s="3" t="n">
        <v>1</v>
      </c>
    </row>
    <row r="5">
      <c r="A5" s="3" t="inlineStr">
        <is>
          <t xml:space="preserve">A</t>
        </is>
      </c>
      <c r="B5" s="3" t="inlineStr">
        <is>
          <t xml:space="preserve">Разрушение защитного слоя бетона с обнажением и коррозией арматуры</t>
        </is>
      </c>
      <c r="C5" s="3" t="inlineStr">
        <is>
          <t xml:space="preserve">Загнивание древесины</t>
        </is>
      </c>
      <c r="D5" s="3" t="inlineStr">
        <is>
          <t xml:space="preserve">Аварийное</t>
        </is>
      </c>
      <c r="E5" s="3" t="inlineStr">
        <is>
          <t xml:space="preserve">отсутствует</t>
        </is>
      </c>
      <c r="G5" s="3" t="inlineStr">
        <is>
          <t xml:space="preserve">Замена стойки (в проектную документацию)</t>
        </is>
      </c>
      <c r="H5" s="3" t="inlineStr">
        <is>
          <t xml:space="preserve">Размещение до восстановления несущей способности не допускается</t>
        </is>
      </c>
    </row>
    <row r="6">
      <c r="A6" s="3" t="inlineStr">
        <is>
          <t xml:space="preserve">Б</t>
        </is>
      </c>
      <c r="B6" s="3" t="inlineStr">
        <is>
          <t xml:space="preserve">Отклонение стойки от вертикали сверх допустимого; трещины с раскрытием сверх нормы</t>
        </is>
      </c>
      <c r="D6" s="3" t="inlineStr">
        <is>
          <t xml:space="preserve">Ограниченно работоспособное</t>
        </is>
      </c>
      <c r="E6" s="3" t="inlineStr">
        <is>
          <t xml:space="preserve">есть при условии</t>
        </is>
      </c>
      <c r="F6" s="3" t="n">
        <v>0.8</v>
      </c>
      <c r="G6" s="3" t="inlineStr">
        <is>
          <t xml:space="preserve">Выправка опоры / усиление (в проектную документацию)</t>
        </is>
      </c>
      <c r="H6" s="3" t="inlineStr">
        <is>
          <t xml:space="preserve">Размещение после выполнения мероприятий</t>
        </is>
      </c>
    </row>
    <row r="7">
      <c r="A7" s="3" t="inlineStr">
        <is>
          <t xml:space="preserve">В</t>
        </is>
      </c>
      <c r="B7" s="3" t="inlineStr">
        <is>
          <t xml:space="preserve">Малозначительные повреждения (поверхностные сколы, загрязнение, коррозия арматуры без потери сечения)</t>
        </is>
      </c>
      <c r="D7" s="3" t="inlineStr">
        <is>
          <t xml:space="preserve">Работоспособное</t>
        </is>
      </c>
      <c r="E7" s="3" t="inlineStr">
        <is>
          <t xml:space="preserve">есть</t>
        </is>
      </c>
      <c r="F7" s="3" t="n">
        <v>1</v>
      </c>
      <c r="G7" s="3" t="inlineStr">
        <is>
          <t xml:space="preserve">Устранение при плановом обслуживании</t>
        </is>
      </c>
      <c r="H7" s="3" t="inlineStr">
        <is>
          <t xml:space="preserve">Не препятствует размещению</t>
        </is>
      </c>
    </row>
  </sheetData>
</worksheet>
</file>

<file path=xl/worksheets/sheet15.xml><?xml version="1.0" encoding="utf-8"?>
<worksheet xmlns="http://schemas.openxmlformats.org/spreadsheetml/2006/main">
  <dimension ref="A1:K11"/>
  <sheetViews>
    <sheetView workbookViewId="0">
      <pane xSplit="0" ySplit="1" topLeftCell="A2" activePane="bottomLeft" state="frozen"/>
    </sheetView>
  </sheetViews>
  <cols>
    <col width="18" customWidth="1" min="1" max="1"/>
    <col width="22" customWidth="1" min="2" max="2"/>
    <col width="20" customWidth="1" min="3" max="3"/>
    <col width="34" customWidth="1" min="4" max="4"/>
    <col width="30" customWidth="1" min="5" max="5"/>
    <col width="20" customWidth="1" min="6" max="6"/>
    <col width="40" customWidth="1" min="7" max="7"/>
    <col width="52" customWidth="1" min="8" max="8"/>
    <col width="30" customWidth="1" min="9" max="9"/>
    <col width="22" customWidth="1" min="10" max="10"/>
    <col width="44" customWidth="1" min="11" max="11"/>
  </cols>
  <sheetData>
    <row r="1">
      <c r="A1" s="2" t="inlineStr">
        <is>
          <t xml:space="preserve">Класс напряжения</t>
        </is>
      </c>
      <c r="B1" s="2" t="inlineStr">
        <is>
          <t xml:space="preserve">Характер местности</t>
        </is>
      </c>
      <c r="C1" s="2" t="inlineStr">
        <is>
          <t xml:space="preserve">Вывод по измерению</t>
        </is>
      </c>
      <c r="D1" s="2" t="inlineStr">
        <is>
          <t xml:space="preserve">Принадлежность подвески</t>
        </is>
      </c>
      <c r="E1" s="2" t="inlineStr">
        <is>
          <t xml:space="preserve">Исполнитель мероприятия</t>
        </is>
      </c>
      <c r="F1" s="2" t="inlineStr">
        <is>
          <t xml:space="preserve">Местность опоры</t>
        </is>
      </c>
      <c r="G1" s="2" t="inlineStr">
        <is>
          <t xml:space="preserve">Группа мероприятия</t>
        </is>
      </c>
      <c r="H1" s="2" t="inlineStr">
        <is>
          <t xml:space="preserve">Схема производства работ</t>
        </is>
      </c>
      <c r="I1" s="2" t="inlineStr">
        <is>
          <t xml:space="preserve">Раздел протокола</t>
        </is>
      </c>
      <c r="J1" s="2" t="inlineStr">
        <is>
          <t xml:space="preserve">Вывод по достаточности</t>
        </is>
      </c>
      <c r="K1" s="2" t="inlineStr">
        <is>
          <t xml:space="preserve">Правило выборки при измерении заземления</t>
        </is>
      </c>
    </row>
    <row r="2">
      <c r="A2" s="3" t="inlineStr">
        <is>
          <t xml:space="preserve">0,4</t>
        </is>
      </c>
      <c r="B2" s="3" t="inlineStr">
        <is>
          <t xml:space="preserve">населённая</t>
        </is>
      </c>
      <c r="C2" s="3" t="inlineStr">
        <is>
          <t xml:space="preserve">соответствует</t>
        </is>
      </c>
      <c r="D2" s="3" t="inlineStr">
        <is>
          <t xml:space="preserve">Владелец (провода ВЛ)</t>
        </is>
      </c>
      <c r="E2" s="3" t="inlineStr">
        <is>
          <t xml:space="preserve">Владелец инфраструктуры</t>
        </is>
      </c>
      <c r="F2" s="3" t="inlineStr">
        <is>
          <t xml:space="preserve">населённая</t>
        </is>
      </c>
      <c r="G2" s="3" t="inlineStr">
        <is>
          <t xml:space="preserve">Е.1 — обусловлено размещением (пользователь)</t>
        </is>
      </c>
      <c r="H2" s="3" t="inlineStr">
        <is>
          <t xml:space="preserve">со снятием напряжения</t>
        </is>
      </c>
      <c r="I2" s="3" t="inlineStr">
        <is>
          <t xml:space="preserve">Г.1 — фактическое состояние</t>
        </is>
      </c>
      <c r="J2" s="3" t="inlineStr">
        <is>
          <t xml:space="preserve">достаточно</t>
        </is>
      </c>
      <c r="K2" s="3" t="inlineStr">
        <is>
          <t xml:space="preserve">все опоры с заземляющими устройствами</t>
        </is>
      </c>
    </row>
    <row r="3">
      <c r="A3" s="3" t="inlineStr">
        <is>
          <t xml:space="preserve">6</t>
        </is>
      </c>
      <c r="B3" s="3" t="inlineStr">
        <is>
          <t xml:space="preserve">ненаселённая</t>
        </is>
      </c>
      <c r="C3" s="3" t="inlineStr">
        <is>
          <t xml:space="preserve">не соответствует</t>
        </is>
      </c>
      <c r="D3" s="3" t="inlineStr">
        <is>
          <t xml:space="preserve">Владелец (грозотрос)</t>
        </is>
      </c>
      <c r="E3" s="3" t="inlineStr">
        <is>
          <t xml:space="preserve">Пользователь инфраструктуры</t>
        </is>
      </c>
      <c r="F3" s="3" t="inlineStr">
        <is>
          <t xml:space="preserve">ненаселённая</t>
        </is>
      </c>
      <c r="G3" s="3" t="inlineStr">
        <is>
          <t xml:space="preserve">Е.2 — эксплуатация (владелец)</t>
        </is>
      </c>
      <c r="H3" s="3" t="inlineStr">
        <is>
          <t xml:space="preserve">без снятия напряжения (вне охранной зоны)</t>
        </is>
      </c>
      <c r="I3" s="3" t="inlineStr">
        <is>
          <t xml:space="preserve">Г.2 — достаточность интервалов</t>
        </is>
      </c>
      <c r="J3" s="3" t="inlineStr">
        <is>
          <t xml:space="preserve">недостаточно</t>
        </is>
      </c>
      <c r="K3" s="3" t="inlineStr">
        <is>
          <t xml:space="preserve">повторные заземлители и опоры с разрядниками</t>
        </is>
      </c>
    </row>
    <row r="4">
      <c r="A4" s="3" t="inlineStr">
        <is>
          <t xml:space="preserve">10</t>
        </is>
      </c>
      <c r="B4" s="3" t="inlineStr">
        <is>
          <t xml:space="preserve">труднодоступная</t>
        </is>
      </c>
      <c r="D4" s="3" t="inlineStr">
        <is>
          <t xml:space="preserve">Иной пользователь инфраструктуры</t>
        </is>
      </c>
      <c r="E4" s="3" t="inlineStr">
        <is>
          <t xml:space="preserve">Определяется проектной документацией</t>
        </is>
      </c>
      <c r="H4" s="3" t="inlineStr">
        <is>
          <t xml:space="preserve">без снятия напряжения (в охранной зоне, по наряду-допуску)</t>
        </is>
      </c>
      <c r="K4" s="3" t="inlineStr">
        <is>
          <t xml:space="preserve">выборка 10 % опор</t>
        </is>
      </c>
    </row>
    <row r="5">
      <c r="A5" s="3" t="inlineStr">
        <is>
          <t xml:space="preserve">10/0,4</t>
        </is>
      </c>
      <c r="D5" s="3" t="inlineStr">
        <is>
          <t xml:space="preserve">Данный пользователь (ранее размещённое)</t>
        </is>
      </c>
      <c r="H5" s="3" t="inlineStr">
        <is>
          <t xml:space="preserve">без снятия напряжения (в охранной зоне, по распоряжению)</t>
        </is>
      </c>
      <c r="K5" s="3" t="inlineStr">
        <is>
          <t xml:space="preserve">выборка 20 % опор</t>
        </is>
      </c>
    </row>
    <row r="6">
      <c r="A6" s="3" t="inlineStr">
        <is>
          <t xml:space="preserve">20</t>
        </is>
      </c>
    </row>
    <row r="7">
      <c r="A7" s="3" t="inlineStr">
        <is>
          <t xml:space="preserve">35</t>
        </is>
      </c>
    </row>
    <row r="8">
      <c r="A8" s="3" t="inlineStr">
        <is>
          <t xml:space="preserve">110</t>
        </is>
      </c>
    </row>
    <row r="9">
      <c r="A9" s="3" t="inlineStr">
        <is>
          <t xml:space="preserve">150</t>
        </is>
      </c>
    </row>
    <row r="10">
      <c r="A10" s="3" t="inlineStr">
        <is>
          <t xml:space="preserve">220</t>
        </is>
      </c>
    </row>
    <row r="11">
      <c r="A11" s="3" t="inlineStr">
        <is>
          <t xml:space="preserve">330</t>
        </is>
      </c>
    </row>
  </sheetData>
</worksheet>
</file>

<file path=xl/worksheets/sheet16.xml><?xml version="1.0" encoding="utf-8"?>
<worksheet xmlns="http://schemas.openxmlformats.org/spreadsheetml/2006/main">
  <dimension ref="A1:F49"/>
  <sheetViews>
    <sheetView workbookViewId="0">
      <pane xSplit="0" ySplit="3" topLeftCell="A4" activePane="bottomLeft" state="frozen"/>
    </sheetView>
  </sheetViews>
  <cols>
    <col width="30" customWidth="1" min="1" max="1"/>
    <col width="18" customWidth="1" min="2" max="2"/>
    <col width="20" customWidth="1" min="3" max="3"/>
    <col width="28" customWidth="1" min="4" max="4"/>
    <col width="3" customWidth="1" min="5" max="5"/>
    <col width="34" customWidth="1" min="6" max="6"/>
  </cols>
  <sheetData>
    <row r="1">
      <c r="A1" s="1" t="inlineStr">
        <is>
          <t xml:space="preserve">СПРАВОЧНИК ПРОВОДОВ ВЛ И ГРОЗОЗАЩИТНЫХ ТРОСОВ</t>
        </is>
      </c>
    </row>
    <row r="2">
      <c r="A2" s="2" t="inlineStr">
        <is>
          <t xml:space="preserve">Собственные провода линии участвуют в расчёте несущей способности наравне с размещаемым кабелем. Без них приложение Ж считает нагрузку только по кабелю связи и завышает запас в разы. Графа F — сводный перечень марок для выпадающего списка Блока 2 листа «Нагрузки»: сначала кабели, затем провода.</t>
        </is>
      </c>
    </row>
    <row r="3">
      <c r="A3" s="2" t="inlineStr">
        <is>
          <t xml:space="preserve">Марка провода / троса</t>
        </is>
      </c>
      <c r="B3" s="2" t="inlineStr">
        <is>
          <t xml:space="preserve">Наружный диаметр, мм</t>
        </is>
      </c>
      <c r="C3" s="2" t="inlineStr">
        <is>
          <t xml:space="preserve">Погонная масса, кг/км</t>
        </is>
      </c>
      <c r="D3" s="2" t="inlineStr">
        <is>
          <t xml:space="preserve">Вид</t>
        </is>
      </c>
      <c r="F3" s="2" t="inlineStr">
        <is>
          <t xml:space="preserve">Марки для Блока 2 «Нагрузки»</t>
        </is>
      </c>
    </row>
    <row r="4">
      <c r="A4" s="3" t="inlineStr">
        <is>
          <t xml:space="preserve">АС 10/1,8</t>
        </is>
      </c>
      <c r="B4" s="3" t="n">
        <v>4.5</v>
      </c>
      <c r="C4" s="3" t="n">
        <v>43</v>
      </c>
      <c r="D4" s="3" t="inlineStr">
        <is>
          <t xml:space="preserve">сталеалюминиевый</t>
        </is>
      </c>
      <c r="F4" s="3" t="inlineStr">
        <is>
          <t xml:space="preserve">ОКСН-6-2,7</t>
        </is>
      </c>
    </row>
    <row r="5">
      <c r="A5" s="3" t="inlineStr">
        <is>
          <t xml:space="preserve">АС 16/2,7</t>
        </is>
      </c>
      <c r="B5" s="3" t="n">
        <v>5.6</v>
      </c>
      <c r="C5" s="3" t="n">
        <v>65</v>
      </c>
      <c r="D5" s="3" t="inlineStr">
        <is>
          <t xml:space="preserve">сталеалюминиевый</t>
        </is>
      </c>
      <c r="F5" s="3" t="inlineStr">
        <is>
          <t xml:space="preserve">ОКСН-8-4,0</t>
        </is>
      </c>
    </row>
    <row r="6">
      <c r="A6" s="3" t="inlineStr">
        <is>
          <t xml:space="preserve">АС 25/4,2</t>
        </is>
      </c>
      <c r="B6" s="3" t="n">
        <v>6.9</v>
      </c>
      <c r="C6" s="3" t="n">
        <v>100</v>
      </c>
      <c r="D6" s="3" t="inlineStr">
        <is>
          <t xml:space="preserve">сталеалюминиевый</t>
        </is>
      </c>
      <c r="F6" s="3" t="inlineStr">
        <is>
          <t xml:space="preserve">ОКСН-12-6,0</t>
        </is>
      </c>
    </row>
    <row r="7">
      <c r="A7" s="3" t="inlineStr">
        <is>
          <t xml:space="preserve">АС 35/6.2</t>
        </is>
      </c>
      <c r="B7" s="3" t="n">
        <v>8.4</v>
      </c>
      <c r="C7" s="3" t="n">
        <v>148</v>
      </c>
      <c r="D7" s="3" t="inlineStr">
        <is>
          <t xml:space="preserve">сталеалюминиевый</t>
        </is>
      </c>
      <c r="F7" s="3" t="inlineStr">
        <is>
          <t xml:space="preserve">ОКСН-16-9,0</t>
        </is>
      </c>
    </row>
    <row r="8">
      <c r="A8" s="3" t="inlineStr">
        <is>
          <t xml:space="preserve">АС 50/8</t>
        </is>
      </c>
      <c r="B8" s="3" t="n">
        <v>9.6</v>
      </c>
      <c r="C8" s="3" t="n">
        <v>195</v>
      </c>
      <c r="D8" s="3" t="inlineStr">
        <is>
          <t xml:space="preserve">сталеалюминиевый</t>
        </is>
      </c>
      <c r="F8" s="3" t="inlineStr">
        <is>
          <t xml:space="preserve">ОКСН-24-12</t>
        </is>
      </c>
    </row>
    <row r="9">
      <c r="A9" s="3" t="inlineStr">
        <is>
          <t xml:space="preserve">АС 70/11</t>
        </is>
      </c>
      <c r="B9" s="3" t="n">
        <v>11.4</v>
      </c>
      <c r="C9" s="3" t="n">
        <v>276</v>
      </c>
      <c r="D9" s="3" t="inlineStr">
        <is>
          <t xml:space="preserve">сталеалюминиевый</t>
        </is>
      </c>
      <c r="F9" s="3" t="inlineStr">
        <is>
          <t xml:space="preserve">ОКСН-24-20</t>
        </is>
      </c>
    </row>
    <row r="10">
      <c r="A10" s="3" t="inlineStr">
        <is>
          <t xml:space="preserve">АС 95/16</t>
        </is>
      </c>
      <c r="B10" s="3" t="n">
        <v>13.5</v>
      </c>
      <c r="C10" s="3" t="n">
        <v>385</v>
      </c>
      <c r="D10" s="3" t="inlineStr">
        <is>
          <t xml:space="preserve">сталеалюминиевый</t>
        </is>
      </c>
      <c r="F10" s="3" t="inlineStr">
        <is>
          <t xml:space="preserve">ОКГТ-с-1,3</t>
        </is>
      </c>
    </row>
    <row r="11">
      <c r="A11" s="3" t="inlineStr">
        <is>
          <t xml:space="preserve">АС 120/19</t>
        </is>
      </c>
      <c r="B11" s="3" t="n">
        <v>15.2</v>
      </c>
      <c r="C11" s="3" t="n">
        <v>471</v>
      </c>
      <c r="D11" s="3" t="inlineStr">
        <is>
          <t xml:space="preserve">сталеалюминиевый</t>
        </is>
      </c>
      <c r="F11" s="3" t="inlineStr">
        <is>
          <t xml:space="preserve">ОКГТ-с-1,8</t>
        </is>
      </c>
    </row>
    <row r="12">
      <c r="A12" s="3" t="inlineStr">
        <is>
          <t xml:space="preserve">АС 150/24</t>
        </is>
      </c>
      <c r="B12" s="3" t="n">
        <v>17.1</v>
      </c>
      <c r="C12" s="3" t="n">
        <v>599</v>
      </c>
      <c r="D12" s="3" t="inlineStr">
        <is>
          <t xml:space="preserve">сталеалюминиевый</t>
        </is>
      </c>
      <c r="F12" s="3" t="inlineStr">
        <is>
          <t xml:space="preserve">ОКГТ-с-2,4</t>
        </is>
      </c>
    </row>
    <row r="13">
      <c r="A13" s="3" t="inlineStr">
        <is>
          <t xml:space="preserve">АС 185/29</t>
        </is>
      </c>
      <c r="B13" s="3" t="n">
        <v>18.9</v>
      </c>
      <c r="C13" s="3" t="n">
        <v>728</v>
      </c>
      <c r="D13" s="3" t="inlineStr">
        <is>
          <t xml:space="preserve">сталеалюминиевый</t>
        </is>
      </c>
      <c r="F13" s="3" t="inlineStr">
        <is>
          <t xml:space="preserve">ОКНН-навив</t>
        </is>
      </c>
    </row>
    <row r="14">
      <c r="A14" s="3" t="inlineStr">
        <is>
          <t xml:space="preserve">АС 240/32</t>
        </is>
      </c>
      <c r="B14" s="3" t="n">
        <v>21.6</v>
      </c>
      <c r="C14" s="3" t="n">
        <v>921</v>
      </c>
      <c r="D14" s="3" t="inlineStr">
        <is>
          <t xml:space="preserve">сталеалюминиевый</t>
        </is>
      </c>
      <c r="F14" s="3" t="inlineStr">
        <is>
          <t xml:space="preserve">ОКНН-прикр</t>
        </is>
      </c>
    </row>
    <row r="15">
      <c r="A15" s="3" t="inlineStr">
        <is>
          <t xml:space="preserve">СИП-2 3х70+1х95</t>
        </is>
      </c>
      <c r="B15" s="3" t="n">
        <v>24</v>
      </c>
      <c r="C15" s="3" t="n">
        <v>720</v>
      </c>
      <c r="D15" s="3" t="inlineStr">
        <is>
          <t xml:space="preserve">самонесущий изолированный</t>
        </is>
      </c>
      <c r="F15" s="3" t="inlineStr">
        <is>
          <t xml:space="preserve">КМЖ (кабель связи с жилами)</t>
        </is>
      </c>
    </row>
    <row r="16">
      <c r="A16" s="3" t="inlineStr">
        <is>
          <t xml:space="preserve">СИП-3 1х70</t>
        </is>
      </c>
      <c r="B16" s="3" t="n">
        <v>16</v>
      </c>
      <c r="C16" s="3" t="n">
        <v>340</v>
      </c>
      <c r="D16" s="3" t="inlineStr">
        <is>
          <t xml:space="preserve">защищённый провод</t>
        </is>
      </c>
      <c r="F16" s="3" t="inlineStr">
        <is>
          <t xml:space="preserve">Ответвительный ОК</t>
        </is>
      </c>
    </row>
    <row r="17">
      <c r="A17" s="3" t="inlineStr">
        <is>
          <t xml:space="preserve">ТК-9 (трос)</t>
        </is>
      </c>
      <c r="B17" s="3" t="n">
        <v>9.1</v>
      </c>
      <c r="C17" s="3" t="n">
        <v>410</v>
      </c>
      <c r="D17" s="3" t="inlineStr">
        <is>
          <t xml:space="preserve">грозозащитный трос</t>
        </is>
      </c>
      <c r="F17" s="3" t="inlineStr">
        <is>
          <t xml:space="preserve">Кабель (тип не определён)</t>
        </is>
      </c>
    </row>
    <row r="18">
      <c r="A18" s="3" t="inlineStr">
        <is>
          <t xml:space="preserve">ТК-11 (трос)</t>
        </is>
      </c>
      <c r="B18" s="3" t="n">
        <v>11</v>
      </c>
      <c r="C18" s="3" t="n">
        <v>600</v>
      </c>
      <c r="D18" s="3" t="inlineStr">
        <is>
          <t xml:space="preserve">грозозащитный трос</t>
        </is>
      </c>
      <c r="F18" s="3" t="inlineStr">
        <is>
          <t xml:space="preserve">ОРК-4</t>
        </is>
      </c>
    </row>
    <row r="19">
      <c r="F19" s="3" t="inlineStr">
        <is>
          <t xml:space="preserve">ОРК-8</t>
        </is>
      </c>
    </row>
    <row r="20">
      <c r="F20" s="3" t="inlineStr">
        <is>
          <t xml:space="preserve">ОРК-16</t>
        </is>
      </c>
    </row>
    <row r="21">
      <c r="F21" s="3" t="inlineStr">
        <is>
          <t xml:space="preserve">ОКП-К-24</t>
        </is>
      </c>
    </row>
    <row r="22">
      <c r="F22" s="3" t="inlineStr">
        <is>
          <t xml:space="preserve">ОКМС-32</t>
        </is>
      </c>
    </row>
    <row r="23">
      <c r="F23" s="3" t="inlineStr">
        <is>
          <t xml:space="preserve">ОКМС-48</t>
        </is>
      </c>
    </row>
    <row r="24">
      <c r="F24" s="3" t="inlineStr">
        <is>
          <t xml:space="preserve">ОКТ-Д(4,0)П-8А1</t>
        </is>
      </c>
    </row>
    <row r="25">
      <c r="F25" s="3" t="inlineStr">
        <is>
          <t xml:space="preserve">ОКДК-2Д-П-1У</t>
        </is>
      </c>
    </row>
    <row r="26">
      <c r="F26" s="3" t="inlineStr">
        <is>
          <t xml:space="preserve">ОКСНЦ2П-10-01-0,22-8</t>
        </is>
      </c>
    </row>
    <row r="27">
      <c r="F27" s="3" t="inlineStr">
        <is>
          <t xml:space="preserve">ДПТс-П-32У(4х8)</t>
        </is>
      </c>
    </row>
    <row r="28">
      <c r="F28" s="3" t="inlineStr">
        <is>
          <t xml:space="preserve">ДПТс-П-48У(6х8)</t>
        </is>
      </c>
    </row>
    <row r="29">
      <c r="F29" s="3" t="inlineStr">
        <is>
          <t xml:space="preserve">ОС-М5-8-7,0</t>
        </is>
      </c>
    </row>
    <row r="30">
      <c r="F30" s="3" t="inlineStr">
        <is>
          <t xml:space="preserve">ОКСНМ-10-01-0,22-32</t>
        </is>
      </c>
    </row>
    <row r="31">
      <c r="F31" s="3" t="inlineStr">
        <is>
          <t xml:space="preserve">ОКСНМ-10-01-0,22-16</t>
        </is>
      </c>
    </row>
    <row r="32">
      <c r="F32" s="3" t="inlineStr">
        <is>
          <t xml:space="preserve">ОКСНМ-10-01-0,22-8</t>
        </is>
      </c>
    </row>
    <row r="33">
      <c r="F33" s="3" t="inlineStr">
        <is>
          <t xml:space="preserve">ОККС-0,22-48</t>
        </is>
      </c>
    </row>
    <row r="34">
      <c r="F34" s="3" t="inlineStr">
        <is>
          <t xml:space="preserve">ОСКД-к-8Е2-3,0</t>
        </is>
      </c>
    </row>
    <row r="35">
      <c r="F35" s="3" t="inlineStr">
        <is>
          <t xml:space="preserve">АС 10/1,8</t>
        </is>
      </c>
    </row>
    <row r="36">
      <c r="F36" s="3" t="inlineStr">
        <is>
          <t xml:space="preserve">АС 16/2,7</t>
        </is>
      </c>
    </row>
    <row r="37">
      <c r="F37" s="3" t="inlineStr">
        <is>
          <t xml:space="preserve">АС 25/4,2</t>
        </is>
      </c>
    </row>
    <row r="38">
      <c r="F38" s="3" t="inlineStr">
        <is>
          <t xml:space="preserve">АС 35/6.2</t>
        </is>
      </c>
    </row>
    <row r="39">
      <c r="F39" s="3" t="inlineStr">
        <is>
          <t xml:space="preserve">АС 50/8</t>
        </is>
      </c>
    </row>
    <row r="40">
      <c r="F40" s="3" t="inlineStr">
        <is>
          <t xml:space="preserve">АС 70/11</t>
        </is>
      </c>
    </row>
    <row r="41">
      <c r="F41" s="3" t="inlineStr">
        <is>
          <t xml:space="preserve">АС 95/16</t>
        </is>
      </c>
    </row>
    <row r="42">
      <c r="F42" s="3" t="inlineStr">
        <is>
          <t xml:space="preserve">АС 120/19</t>
        </is>
      </c>
    </row>
    <row r="43">
      <c r="F43" s="3" t="inlineStr">
        <is>
          <t xml:space="preserve">АС 150/24</t>
        </is>
      </c>
    </row>
    <row r="44">
      <c r="F44" s="3" t="inlineStr">
        <is>
          <t xml:space="preserve">АС 185/29</t>
        </is>
      </c>
    </row>
    <row r="45">
      <c r="F45" s="3" t="inlineStr">
        <is>
          <t xml:space="preserve">АС 240/32</t>
        </is>
      </c>
    </row>
    <row r="46">
      <c r="F46" s="3" t="inlineStr">
        <is>
          <t xml:space="preserve">СИП-2 3х70+1х95</t>
        </is>
      </c>
    </row>
    <row r="47">
      <c r="F47" s="3" t="inlineStr">
        <is>
          <t xml:space="preserve">СИП-3 1х70</t>
        </is>
      </c>
    </row>
    <row r="48">
      <c r="F48" s="3" t="inlineStr">
        <is>
          <t xml:space="preserve">ТК-9 (трос)</t>
        </is>
      </c>
    </row>
    <row r="49">
      <c r="F49" s="3" t="inlineStr">
        <is>
          <t xml:space="preserve">ТК-11 (трос)</t>
        </is>
      </c>
    </row>
  </sheetData>
</worksheet>
</file>

<file path=xl/worksheets/sheet17.xml><?xml version="1.0" encoding="utf-8"?>
<worksheet xmlns="http://schemas.openxmlformats.org/spreadsheetml/2006/main">
  <dimension ref="A1:G20"/>
  <sheetViews>
    <sheetView workbookViewId="0">
      <pane xSplit="0" ySplit="3" topLeftCell="A4" activePane="bottomLeft" state="frozen"/>
    </sheetView>
  </sheetViews>
  <cols>
    <col width="40" customWidth="1" min="1" max="1"/>
    <col width="24" customWidth="1" min="2" max="2"/>
    <col width="20" customWidth="1" min="3" max="3"/>
    <col width="30" customWidth="1" min="4" max="4"/>
    <col width="16" customWidth="1" min="5" max="5"/>
    <col width="22" customWidth="1" min="6" max="6"/>
    <col width="46" customWidth="1" min="7" max="7"/>
  </cols>
  <sheetData>
    <row r="1">
      <c r="A1" s="1" t="inlineStr">
        <is>
          <t xml:space="preserve">СПРАВОЧНИК СРЕДСТВ ИЗМЕРЕНИЙ</t>
        </is>
      </c>
    </row>
    <row r="2">
      <c r="A2" s="2" t="inlineStr">
        <is>
          <t xml:space="preserve">Первые строки — приборы подразделения: по ним известны заводской номер и запись о поверке во ФГИС «Аршин», и в рабочем месте они подставляются целиком. Остальные позиции типовые: наименование и марка берутся отсюда, заводской номер и поверка заполняются по конкретному экземпляру. Дата окончания поверки — год минус день от даты поверки (ФЗ от 26.06.2008 № 102-ФЗ, приказ Минпромторга № 2510).</t>
        </is>
      </c>
    </row>
    <row r="3">
      <c r="A3" s="2" t="inlineStr">
        <is>
          <t xml:space="preserve">Наименование прибора</t>
        </is>
      </c>
      <c r="B3" s="2" t="inlineStr">
        <is>
          <t xml:space="preserve">Тип / марка</t>
        </is>
      </c>
      <c r="C3" s="2" t="inlineStr">
        <is>
          <t xml:space="preserve">Заводской номер</t>
        </is>
      </c>
      <c r="D3" s="2" t="inlineStr">
        <is>
          <t xml:space="preserve">№ записи о поверке (ФГИС «Аршин»)</t>
        </is>
      </c>
      <c r="E3" s="2" t="inlineStr">
        <is>
          <t xml:space="preserve">Дата поверки</t>
        </is>
      </c>
      <c r="F3" s="2" t="inlineStr">
        <is>
          <t xml:space="preserve">Закреплён за подразделением</t>
        </is>
      </c>
      <c r="G3" s="2" t="inlineStr">
        <is>
          <t xml:space="preserve">Для каких измерений пригоден</t>
        </is>
      </c>
    </row>
    <row r="4">
      <c r="A4" s="3" t="inlineStr">
        <is>
          <t xml:space="preserve">Склерометр (Измеритель прочности бетона)</t>
        </is>
      </c>
      <c r="B4" s="3" t="inlineStr">
        <is>
          <t xml:space="preserve">ИПС-МГ4.01</t>
        </is>
      </c>
      <c r="C4" s="3" t="inlineStr">
        <is>
          <t xml:space="preserve">10819</t>
        </is>
      </c>
      <c r="D4" s="3" t="inlineStr">
        <is>
          <t xml:space="preserve">П-431-2026</t>
        </is>
      </c>
      <c r="E4" s="3" t="inlineStr">
        <is>
          <t xml:space="preserve">2026-07-21</t>
        </is>
      </c>
      <c r="F4" s="3" t="inlineStr">
        <is>
          <t xml:space="preserve">да</t>
        </is>
      </c>
      <c r="G4" s="3" t="inlineStr">
        <is>
          <t xml:space="preserve">Прочность бетона на сжатие (ударный импульс)</t>
        </is>
      </c>
    </row>
    <row r="5">
      <c r="A5" s="3" t="inlineStr">
        <is>
          <t xml:space="preserve">Теодолит (Измеритель угла наклона)</t>
        </is>
      </c>
      <c r="B5" s="3" t="inlineStr">
        <is>
          <t xml:space="preserve">РГК Т-05</t>
        </is>
      </c>
      <c r="C5" s="3" t="inlineStr">
        <is>
          <t xml:space="preserve">611010</t>
        </is>
      </c>
      <c r="D5" s="3" t="inlineStr">
        <is>
          <t xml:space="preserve">С-ДЮП/27-08-2026</t>
        </is>
      </c>
      <c r="E5" s="3" t="inlineStr">
        <is>
          <t xml:space="preserve">2026-08-27</t>
        </is>
      </c>
      <c r="F5" s="3" t="inlineStr">
        <is>
          <t xml:space="preserve">да</t>
        </is>
      </c>
      <c r="G5" s="3" t="inlineStr">
        <is>
          <t xml:space="preserve">Отклонение стойки от вертикали; Габарит нижнего провода до земли; Свободная высота под размещение ОК над землёй; Свободный интервал от предполагаемой точки подвеса ОК до провода; Глубина заложения / состояние закрепления в грунте; Отклонение стойки от вертикали</t>
        </is>
      </c>
    </row>
    <row r="6">
      <c r="A6" s="3" t="inlineStr">
        <is>
          <t xml:space="preserve">Угломер</t>
        </is>
      </c>
      <c r="B6" s="3" t="inlineStr">
        <is>
          <t xml:space="preserve">RGK U-66</t>
        </is>
      </c>
      <c r="G6" s="3" t="inlineStr">
        <is>
          <t xml:space="preserve">Отклонение стойки от вертикали</t>
        </is>
      </c>
    </row>
    <row r="7">
      <c r="A7" s="3" t="inlineStr">
        <is>
          <t xml:space="preserve">Измеритель прочности бетона</t>
        </is>
      </c>
      <c r="B7" s="3" t="inlineStr">
        <is>
          <t xml:space="preserve">ИПС-МГ4.03</t>
        </is>
      </c>
      <c r="G7" s="3" t="inlineStr">
        <is>
          <t xml:space="preserve">Прочность бетона на сжатие (ударный импульс)</t>
        </is>
      </c>
    </row>
    <row r="8">
      <c r="A8" s="3" t="inlineStr">
        <is>
          <t xml:space="preserve">Измеритель защитного слоя бетона</t>
        </is>
      </c>
      <c r="B8" s="3" t="inlineStr">
        <is>
          <t xml:space="preserve">ИПА-МГ4.01</t>
        </is>
      </c>
      <c r="G8" s="3" t="inlineStr">
        <is>
          <t xml:space="preserve">Толщина защитного слоя бетона</t>
        </is>
      </c>
    </row>
    <row r="9">
      <c r="A9" s="3" t="inlineStr">
        <is>
          <t xml:space="preserve">Тахеометр электронный</t>
        </is>
      </c>
      <c r="B9" s="3" t="inlineStr">
        <is>
          <t xml:space="preserve">Тахеометр 3Та5Р</t>
        </is>
      </c>
      <c r="G9" s="3" t="inlineStr">
        <is>
          <t xml:space="preserve">Отклонение стойки от вертикали; Габарит нижнего провода до земли; Свободная высота под размещение ОК над землёй; Свободный интервал от предполагаемой точки подвеса ОК до провода; Глубина заложения / состояние закрепления в грунте</t>
        </is>
      </c>
    </row>
    <row r="10">
      <c r="A10" s="3" t="inlineStr">
        <is>
          <t xml:space="preserve">Нивелир оптический</t>
        </is>
      </c>
      <c r="B10" s="3" t="inlineStr">
        <is>
          <t xml:space="preserve">Sokkia B40A</t>
        </is>
      </c>
      <c r="G10" s="3" t="inlineStr">
        <is>
          <t xml:space="preserve">Отклонение стойки от вертикали; Габарит нижнего провода до земли; Свободная высота под размещение ОК над землёй; Свободный интервал от предполагаемой точки подвеса ОК до провода; Глубина заложения / состояние закрепления в грунте</t>
        </is>
      </c>
    </row>
    <row r="11">
      <c r="A11" s="3" t="inlineStr">
        <is>
          <t xml:space="preserve">Рулетка измерительная металлическая</t>
        </is>
      </c>
      <c r="B11" s="3" t="inlineStr">
        <is>
          <t xml:space="preserve">Р50УЗК</t>
        </is>
      </c>
      <c r="G11" s="3" t="inlineStr">
        <is>
          <t xml:space="preserve">Габарит нижнего провода до земли; Свободная высота под размещение ОК над землёй; Свободный интервал от предполагаемой точки подвеса ОК до провода; Свободный интервал от точки подвеса ОК до элементов опоры; Свободный интервал по вертикали для точки крепления ОК; Свободный интервал по горизонтали для точки крепления ОК; Глубина заложения / состояние закрепления в грунте</t>
        </is>
      </c>
    </row>
    <row r="12">
      <c r="A12" s="3" t="inlineStr">
        <is>
          <t xml:space="preserve">Рулетка измерительная металлическая</t>
        </is>
      </c>
      <c r="B12" s="3" t="inlineStr">
        <is>
          <t xml:space="preserve">Р20УЗК</t>
        </is>
      </c>
      <c r="G12" s="3" t="inlineStr">
        <is>
          <t xml:space="preserve">Габарит нижнего провода до земли; Свободная высота под размещение ОК над землёй; Свободный интервал от предполагаемой точки подвеса ОК до провода; Свободный интервал от точки подвеса ОК до элементов опоры; Свободный интервал по вертикали для точки крепления ОК; Свободный интервал по горизонтали для точки крепления ОК; Глубина заложения / состояние закрепления в грунте</t>
        </is>
      </c>
    </row>
    <row r="13">
      <c r="A13" s="3" t="inlineStr">
        <is>
          <t xml:space="preserve">Дальномер лазерный</t>
        </is>
      </c>
      <c r="B13" s="3" t="inlineStr">
        <is>
          <t xml:space="preserve">Leica DISTO D2</t>
        </is>
      </c>
      <c r="G13" s="3" t="inlineStr">
        <is>
          <t xml:space="preserve">Габарит нижнего провода до земли; Свободная высота под размещение ОК над землёй; Свободный интервал от предполагаемой точки подвеса ОК до провода; Свободный интервал от точки подвеса ОК до элементов опоры; Свободный интервал по вертикали для точки крепления ОК; Свободный интервал по горизонтали для точки крепления ОК; Глубина заложения / состояние закрепления в грунте</t>
        </is>
      </c>
    </row>
    <row r="14">
      <c r="A14" s="3" t="inlineStr">
        <is>
          <t xml:space="preserve">Дальномер лазерный</t>
        </is>
      </c>
      <c r="B14" s="3" t="inlineStr">
        <is>
          <t xml:space="preserve">ADA Cosmo 100</t>
        </is>
      </c>
      <c r="G14" s="3" t="inlineStr">
        <is>
          <t xml:space="preserve">Габарит нижнего провода до земли; Свободная высота под размещение ОК над землёй; Свободный интервал от предполагаемой точки подвеса ОК до провода; Свободный интервал от точки подвеса ОК до элементов опоры; Свободный интервал по вертикали для точки крепления ОК; Свободный интервал по горизонтали для точки крепления ОК; Глубина заложения / состояние закрепления в грунте</t>
        </is>
      </c>
    </row>
    <row r="15">
      <c r="A15" s="3" t="inlineStr">
        <is>
          <t xml:space="preserve">Высотомер (дальномер с угломером)</t>
        </is>
      </c>
      <c r="B15" s="3" t="inlineStr">
        <is>
          <t xml:space="preserve">Nikon Forestry Pro II</t>
        </is>
      </c>
      <c r="G15" s="3" t="inlineStr">
        <is>
          <t xml:space="preserve">Габарит нижнего провода до земли; Свободная высота под размещение ОК над землёй; Свободный интервал от предполагаемой точки подвеса ОК до провода; Свободный интервал от точки подвеса ОК до элементов опоры; Свободный интервал по вертикали для точки крепления ОК; Свободный интервал по горизонтали для точки крепления ОК; Глубина заложения / состояние закрепления в грунте; Отклонение стойки от вертикали</t>
        </is>
      </c>
    </row>
    <row r="16">
      <c r="A16" s="3" t="inlineStr">
        <is>
          <t xml:space="preserve">Измеритель сопротивления заземления</t>
        </is>
      </c>
      <c r="B16" s="3" t="inlineStr">
        <is>
          <t xml:space="preserve">ИС-20/1</t>
        </is>
      </c>
      <c r="G16" s="3" t="inlineStr">
        <is>
          <t xml:space="preserve">Сопротивление заземляющего устройства опоры</t>
        </is>
      </c>
    </row>
    <row r="17">
      <c r="A17" s="3" t="inlineStr">
        <is>
          <t xml:space="preserve">Измеритель сопротивления заземления</t>
        </is>
      </c>
      <c r="B17" s="3" t="inlineStr">
        <is>
          <t xml:space="preserve">MRU-101</t>
        </is>
      </c>
      <c r="G17" s="3" t="inlineStr">
        <is>
          <t xml:space="preserve">Сопротивление заземляющего устройства опоры</t>
        </is>
      </c>
    </row>
    <row r="18">
      <c r="A18" s="3" t="inlineStr">
        <is>
          <t xml:space="preserve">Трещиномер (лупа измерительная)</t>
        </is>
      </c>
      <c r="B18" s="3" t="inlineStr">
        <is>
          <t xml:space="preserve">ЛИ-10х</t>
        </is>
      </c>
      <c r="G18" s="3" t="inlineStr">
        <is>
          <t xml:space="preserve">Ширина раскрытия трещин ж/б стойки</t>
        </is>
      </c>
    </row>
    <row r="19">
      <c r="A19" s="3" t="inlineStr">
        <is>
          <t xml:space="preserve">Штангенциркуль</t>
        </is>
      </c>
      <c r="B19" s="3" t="inlineStr">
        <is>
          <t xml:space="preserve">ШЦ-I-150</t>
        </is>
      </c>
      <c r="G19" s="3" t="inlineStr">
        <is>
          <t xml:space="preserve">Диаметр стойки (сечение); Ширина раскрытия трещин ж/б стойки; Толщина защитного слоя бетона</t>
        </is>
      </c>
    </row>
    <row r="20">
      <c r="A20" s="3" t="inlineStr">
        <is>
          <t xml:space="preserve">Угломер (уровень цифровой)</t>
        </is>
      </c>
      <c r="B20" s="3" t="inlineStr">
        <is>
          <t xml:space="preserve">ADA ProDigit</t>
        </is>
      </c>
      <c r="G20" s="3" t="inlineStr">
        <is>
          <t xml:space="preserve">Отклонение стойки от вертикали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zakharchenkosv</cp:lastModifiedBy>
  <cp:revision>1</cp:revision>
  <dcterms:created xsi:type="dcterms:W3CDTF">2026-08-13T09:52:32Z</dcterms:created>
  <dcterms:modified xsi:type="dcterms:W3CDTF">2026-09-18T07:46:58Z</dcterms:modified>
</cp:coreProperties>
</file>